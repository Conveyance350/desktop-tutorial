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15f2d880f7420b" /></Relationships>
</file>

<file path=xl/workbook.xml><?xml version="1.0" encoding="utf-8"?>
<workbook xmlns="http://schemas.openxmlformats.org/spreadsheetml/2006/main" xmlns:r="http://schemas.openxmlformats.org/officeDocument/2006/relationships">
  <sheets>
    <sheet name="00_製作判定" sheetId="1" r:id="Rdfb6ea0634ab4d2c"/>
    <sheet name="01_組立正面" sheetId="2" r:id="R2d83da030ab84c68"/>
    <sheet name="02_組立平面" sheetId="3" r:id="R4b2db3d34c2d4552"/>
    <sheet name="03_組立右側面" sheetId="4" r:id="Rea527f75ac2c4746"/>
    <sheet name="04_ゲート詳細" sheetId="5" r:id="R54ae1d11567b46d1"/>
    <sheet name="05_ガイド詳細" sheetId="6" r:id="R8854b5514c8c43f7"/>
    <sheet name="06_その他詳細" sheetId="7" r:id="R73c20782e1cc45f2"/>
    <sheet name="07_穴位置" sheetId="8" r:id="R2d8d2ddcdd6f49ba"/>
    <sheet name="08_BOM追加品" sheetId="9" r:id="Rbc5ef86011404e62"/>
    <sheet name="09_元材料切出し" sheetId="10" r:id="R1dfc17f1cb3d4b75"/>
    <sheet name="10_寸法計算" sheetId="11" r:id="Rfc43f49a4b1a4ea8"/>
    <sheet name="11_実機検証" sheetId="12" r:id="R916aac8f03d046c4"/>
  </sheets>
  <definedNames>
    <definedName name="_xlnm.Print_Area" localSheetId="1">'01_組立正面'!$A$1:$L$31</definedName>
    <definedName name="_xlnm.Print_Area" localSheetId="2">'02_組立平面'!$A$1:$L$31</definedName>
    <definedName name="_xlnm.Print_Area" localSheetId="3">'03_組立右側面'!$A$1:$L$31</definedName>
    <definedName name="_xlnm.Print_Area" localSheetId="4">'04_ゲート詳細'!$A$1:$L$31</definedName>
    <definedName name="_xlnm.Print_Area" localSheetId="5">'05_ガイド詳細'!$A$1:$L$31</definedName>
    <definedName name="_xlnm.Print_Area" localSheetId="6">'06_その他詳細'!$A$1:$L$31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@"/>
  </x:numFmts>
  <x:fonts count="5">
    <x:font>
      <x:sz val="11"/>
      <x:name val="Carlito"/>
    </x:font>
    <x:font>
      <x:sz val="11"/>
      <x:color rgb="FF26364A"/>
      <x:name val="Meiryo"/>
    </x:font>
    <x:font>
      <x:b/>
      <x:sz val="16"/>
      <x:color rgb="FFFFFFFF"/>
      <x:name val="Meiryo"/>
    </x:font>
    <x:font>
      <x:b/>
      <x:sz val="11"/>
      <x:color rgb="FF26364A"/>
      <x:name val="Meiryo"/>
    </x:font>
    <x:font>
      <x:sz val="11"/>
      <x:color rgb="FF2466AD"/>
      <x:name val="Meiryo"/>
    </x:font>
  </x:fonts>
  <x:fills count="7">
    <x:fill>
      <x:patternFill patternType="none"/>
    </x:fill>
    <x:fill>
      <x:patternFill patternType="gray125"/>
    </x:fill>
    <x:fill>
      <x:patternFill patternType="solid">
        <x:fgColor rgb="FF26364A"/>
      </x:patternFill>
    </x:fill>
    <x:fill>
      <x:patternFill patternType="solid">
        <x:fgColor rgb="FFFFF1DA"/>
      </x:patternFill>
    </x:fill>
    <x:fill>
      <x:patternFill patternType="solid">
        <x:fgColor rgb="FFDFEAF2"/>
      </x:patternFill>
    </x:fill>
    <x:fill>
      <x:patternFill patternType="solid">
        <x:fgColor rgb="FFF0F6FF"/>
      </x:patternFill>
    </x:fill>
    <x:fill>
      <x:patternFill patternType="solid">
        <x:fgColor rgb="FFFFF7E7"/>
      </x:patternFill>
    </x:fill>
  </x:fills>
  <x:borders count="2">
    <x:border>
      <x:left/>
      <x:right/>
      <x:top/>
      <x:bottom/>
      <x:diagonal/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1376d516da4c13" /><Relationship Type="http://schemas.openxmlformats.org/officeDocument/2006/relationships/theme" Target="/xl/theme/theme1.xml" Id="Rcf7cf55ec315496c" /><Relationship Type="http://schemas.openxmlformats.org/officeDocument/2006/relationships/sharedStrings" Target="/xl/sharedStrings.xml" Id="R5309ab709cd8454d" /><Relationship Type="http://schemas.openxmlformats.org/officeDocument/2006/relationships/worksheet" Target="/xl/worksheets/sheet1.xml" Id="Rdfb6ea0634ab4d2c" /><Relationship Type="http://schemas.openxmlformats.org/officeDocument/2006/relationships/worksheet" Target="/xl/worksheets/sheet2.xml" Id="R2d83da030ab84c68" /><Relationship Type="http://schemas.openxmlformats.org/officeDocument/2006/relationships/worksheet" Target="/xl/worksheets/sheet3.xml" Id="R4b2db3d34c2d4552" /><Relationship Type="http://schemas.openxmlformats.org/officeDocument/2006/relationships/worksheet" Target="/xl/worksheets/sheet4.xml" Id="Rea527f75ac2c4746" /><Relationship Type="http://schemas.openxmlformats.org/officeDocument/2006/relationships/worksheet" Target="/xl/worksheets/sheet5.xml" Id="R54ae1d11567b46d1" /><Relationship Type="http://schemas.openxmlformats.org/officeDocument/2006/relationships/worksheet" Target="/xl/worksheets/sheet6.xml" Id="R8854b5514c8c43f7" /><Relationship Type="http://schemas.openxmlformats.org/officeDocument/2006/relationships/worksheet" Target="/xl/worksheets/sheet7.xml" Id="R73c20782e1cc45f2" /><Relationship Type="http://schemas.openxmlformats.org/officeDocument/2006/relationships/worksheet" Target="/xl/worksheets/sheet8.xml" Id="R2d8d2ddcdd6f49ba" /><Relationship Type="http://schemas.openxmlformats.org/officeDocument/2006/relationships/worksheet" Target="/xl/worksheets/sheet9.xml" Id="Rbc5ef86011404e62" /><Relationship Type="http://schemas.openxmlformats.org/officeDocument/2006/relationships/worksheet" Target="/xl/worksheets/sheet10.xml" Id="R1dfc17f1cb3d4b75" /><Relationship Type="http://schemas.openxmlformats.org/officeDocument/2006/relationships/worksheet" Target="/xl/worksheets/sheet11.xml" Id="Rfc43f49a4b1a4ea8" /><Relationship Type="http://schemas.openxmlformats.org/officeDocument/2006/relationships/worksheet" Target="/xl/worksheets/sheet12.xml" Id="R916aac8f03d046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8524d78551b493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90a94f82834348e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9722ae8dc6c1457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2f048f18678445f6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4fa87c31a53f4207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4dafe16706004a82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1430000" cy="7143750"/>
    <xdr:pic>
      <xdr:nvPicPr>
        <xdr:cNvPr id="1" name="0c4c1a16-dcbb-4ab8-a6fc-a4f9806e4b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524d78551b49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1430000" cy="7143750"/>
    <xdr:pic>
      <xdr:nvPicPr>
        <xdr:cNvPr id="1" name="289238bc-3952-47bb-97f8-12590d919f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a94f82834348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1430000" cy="7143750"/>
    <xdr:pic>
      <xdr:nvPicPr>
        <xdr:cNvPr id="1" name="bec53f19-9962-449d-9443-91b26f0751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22ae8dc6c145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1430000" cy="7143750"/>
    <xdr:pic>
      <xdr:nvPicPr>
        <xdr:cNvPr id="1" name="ca63cb95-a43f-4122-ae90-59fccdef28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048f18678445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1430000" cy="7143750"/>
    <xdr:pic>
      <xdr:nvPicPr>
        <xdr:cNvPr id="1" name="e2d1839a-3c15-4762-827b-bfaac80197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a87c31a53f42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1430000" cy="7143750"/>
    <xdr:pic>
      <xdr:nvPicPr>
        <xdr:cNvPr id="1" name="b3d3f340-662e-4ba2-acb3-befc07a040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afe16706004a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a7812b02a6a46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404a927cf7b4b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87cb22f9636d44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45b047c151a349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65a2299242dd46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9065efa4d1f949ea" /></Relationships>
</file>

<file path=xl/worksheets/_rels/sheet9.xml.rels><?xml version='1.0' encoding='UTF-8'?>
<ns0:Relationships xmlns:ns0="http://schemas.openxmlformats.org/package/2006/relationships"><ns0:Relationship Id="rIdProduct5" Type="http://schemas.openxmlformats.org/officeDocument/2006/relationships/hyperlink" Target="https://www.monotaro.com/p/0234/0877/" TargetMode="External" /><ns0:Relationship Id="rIdProduct6" Type="http://schemas.openxmlformats.org/officeDocument/2006/relationships/hyperlink" Target="https://www.monotaro.com/p/4226/6901/" TargetMode="External" /><ns0:Relationship Id="rIdProduct7" Type="http://schemas.openxmlformats.org/officeDocument/2006/relationships/hyperlink" Target="https://www.monotaro.com/p/0550/8386/" TargetMode="External" /><ns0:Relationship Id="rIdProduct8" Type="http://schemas.openxmlformats.org/officeDocument/2006/relationships/hyperlink" Target="https://www.monotaro.com/p/0550/8422/" TargetMode="External" /><ns0:Relationship Id="rIdProduct9" Type="http://schemas.openxmlformats.org/officeDocument/2006/relationships/hyperlink" Target="https://www.monotaro.com/p/3929/9594/" TargetMode="External" /><ns0:Relationship Id="rIdProduct10" Type="http://schemas.openxmlformats.org/officeDocument/2006/relationships/hyperlink" Target="https://www.monotaro.com/p/2694/3078/" TargetMode="External" /><ns0:Relationship Id="rIdProduct11" Type="http://schemas.openxmlformats.org/officeDocument/2006/relationships/hyperlink" Target="https://www.monotaro.com/p/4035/6041/" TargetMode="External" /></ns0: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24" hidden="0" customWidth="1"/>
  </x:cols>
  <x:sheetData>
    <x:row r="1" ht="38" customHeight="1">
      <x:c r="A1" s="5" t="str">
        <x:v>かんばんストッパー　注文済み材料活用案</x:v>
      </x:c>
      <x:c r="B1" s="5"/>
    </x:row>
    <x:row r="2" ht="38" customHeight="1">
      <x:c r="A2" s="6" t="str">
        <x:v>Rev B-1　2026-10-24　製作承認：保留／原図指定と追加案を区別</x:v>
      </x:c>
      <x:c r="B2" s="6"/>
    </x:row>
    <x:row r="3" ht="38" customHeight="1">
      <x:c r="A3" s="3"/>
      <x:c r="B3" s="3"/>
    </x:row>
    <x:row r="4" ht="38" customHeight="1">
      <x:c r="A4" s="9" t="str">
        <x:v>区分</x:v>
      </x:c>
      <x:c r="B4" s="9" t="str">
        <x:v>内容</x:v>
      </x:c>
    </x:row>
    <x:row r="5" ht="65" customHeight="1">
      <x:c r="A5" s="10" t="str">
        <x:v>結論</x:v>
      </x:c>
      <x:c r="B5" s="10" t="str">
        <x:v>買い直しは保留。元主材を使う検討用製作図。支持・未定穴が残るため現時点の製作承認は保留。</x:v>
      </x:c>
    </x:row>
    <x:row r="6" ht="65" customHeight="1">
      <x:c r="A6" s="10" t="str">
        <x:v>正本</x:v>
      </x:c>
      <x:c r="B6" s="10" t="str">
        <x:v>取得したRev B HTMLを基準に、注文済み材料と商品仕様を反映したRev B-1。</x:v>
      </x:c>
    </x:row>
    <x:row r="7" ht="65" customHeight="1">
      <x:c r="A7" s="10" t="str">
        <x:v>維持仕様</x:v>
      </x:c>
      <x:c r="B7" s="10" t="str">
        <x:v>横スライド。40×110×t3、横36、押込み26、ケース100×205を最大5枚、26°。</x:v>
      </x:c>
    </x:row>
    <x:row r="8" ht="65" customHeight="1">
      <x:c r="A8" s="10" t="str">
        <x:v>活用</x:v>
      </x:c>
      <x:c r="B8" s="10" t="str">
        <x:v>アングル2本と平板を活用。既存M3ねじ・ナットを外側固定へ。TSB・M5は保管。</x:v>
      </x:c>
    </x:row>
    <x:row r="9" ht="65" customHeight="1">
      <x:c r="A9" s="10" t="str">
        <x:v>ばね</x:v>
      </x:c>
      <x:c r="B9" s="10" t="str">
        <x:v>50mm品1本を第一試験候補。計算4.70→20.54Nで掲載許容31N以下。寿命・復帰は未判定。</x:v>
      </x:c>
    </x:row>
    <x:row r="10" ht="65" customHeight="1">
      <x:c r="A10" s="10" t="str">
        <x:v>追加候補</x:v>
      </x:c>
      <x:c r="B10" s="10" t="str">
        <x:v>テープ、5mmスペーサー、皿M3×10/16、終端調整、条件付き箱固定具。詳細BOM参照。</x:v>
      </x:c>
    </x:row>
    <x:row r="11" ht="65" customHeight="1">
      <x:c r="A11" s="10" t="str">
        <x:v>加工保留</x:v>
      </x:c>
      <x:c r="B11" s="10" t="str">
        <x:v>ガイド脚方向、固定支持、ばね掛けとフォロワー、カム高さ、終端受け、箱・BS-01取付を確定。</x:v>
      </x:c>
    </x:row>
    <x:row r="12" ht="65" customHeight="1">
      <x:c r="A12" s="10" t="str">
        <x:v>切断条件</x:v>
      </x:c>
      <x:c r="B12" s="10" t="str">
        <x:v>角A298、B294。切断代2以内、端面修正代を確認。平板は注文長112以上。</x:v>
      </x:c>
    </x:row>
    <x:row r="13" ht="65" customHeight="1">
      <x:c r="A13" s="10" t="str">
        <x:v>図の扱い</x:v>
      </x:c>
      <x:c r="B13" s="10" t="str">
        <x:v>青はRev B指定。橙穴は本改訂の追加案。図は固定画像で計算セル変更では更新しない。</x:v>
      </x:c>
    </x:row>
    <x:row r="14" ht="65" customHeight="1">
      <x:c r="A14" s="10" t="str">
        <x:v>干渉</x:v>
      </x:c>
      <x:c r="B14" s="10" t="str">
        <x:v>ダクト高さ80対ケース100、ガイド20脚対ばね、ねじ頭と先端、BS-01可動域、台車過走が未検証。</x:v>
      </x:c>
    </x:row>
    <x:row r="15" ht="65" customHeight="1">
      <x:c r="A15" s="10" t="str">
        <x:v>作業順</x:v>
      </x:c>
      <x:c r="B15" s="10" t="str">
        <x:v>現物採寸→仮組→支持と穴の確定→加工→無負荷動作→1枚/4枚/5枚回収→責任者承認。</x:v>
      </x:c>
    </x:row>
    <x:row r="16" ht="65" customHeight="1">
      <x:c r="A16" s="10" t="str">
        <x:v>承認</x:v>
      </x:c>
      <x:c r="B16" s="10" t="str">
        <x:v>実機検証表に測定値・証跡・確認者を記録する。計算だけで製作承認を出さない。</x:v>
      </x:c>
    </x:row>
    <x:row r="17" ht="65" customHeight="1">
      <x:c r="A17" s="10" t="str">
        <x:v>正本SHA256</x:v>
      </x:c>
      <x:c r="B17" s="10" t="str">
        <x:v>CE32E6C0EA9FE3B7E97A0186F48E1B798906C74FDE4D935D8A7837376912C741</x:v>
      </x:c>
    </x:row>
    <x:row r="18" ht="65" customHeight="1">
      <x:c r="A18" s="10" t="str">
        <x:v>出典</x:v>
      </x:c>
      <x:c r="B18" s="10" t="str">
        <x:v>Rev B HTML本文とコード、ユーザー提示注文一覧、MonotaRO掲載仕様（2026-10-24確認）。</x:v>
      </x:c>
    </x:row>
    <x:row r="19" ht="38" customHeight="1">
      <x:c r="A19" s="3"/>
      <x:c r="B19" s="3"/>
    </x:row>
    <x:row r="20" ht="38" customHeight="1">
      <x:c r="A20" s="3"/>
      <x:c r="B20" s="3"/>
    </x:row>
    <x:row r="21" ht="38" customHeight="1">
      <x:c r="A21" s="3"/>
      <x:c r="B21" s="3"/>
    </x:row>
    <x:row r="22" ht="38" customHeight="1">
      <x:c r="A22" s="3"/>
      <x:c r="B22" s="3"/>
    </x:row>
    <x:row r="23" ht="38" customHeight="1">
      <x:c r="A23" s="3"/>
      <x:c r="B23" s="3"/>
    </x:row>
    <x:row r="24" ht="38" customHeight="1">
      <x:c r="A24" s="3"/>
      <x:c r="B24" s="3"/>
    </x:row>
    <x:row r="25" ht="38" customHeight="1">
      <x:c r="A25" s="3"/>
      <x:c r="B25" s="3"/>
    </x:row>
    <x:row r="26" ht="38" customHeight="1">
      <x:c r="A26" s="3"/>
      <x:c r="B26" s="3"/>
    </x:row>
    <x:row r="27" ht="38" customHeight="1">
      <x:c r="A27" s="3"/>
      <x:c r="B27" s="3"/>
    </x:row>
    <x:row r="28" ht="38" customHeight="1">
      <x:c r="A28" s="3"/>
      <x:c r="B28" s="3"/>
    </x:row>
    <x:row r="29" ht="38" customHeight="1">
      <x:c r="A29" s="3"/>
      <x:c r="B29" s="3"/>
    </x:row>
    <x:row r="30" ht="38" customHeight="1">
      <x:c r="A30" s="3"/>
      <x:c r="B30" s="3"/>
    </x:row>
    <x:row r="31" ht="38" customHeight="1">
      <x:c r="A31" s="3"/>
      <x:c r="B31" s="3"/>
    </x:row>
    <x:row r="32" ht="38" customHeight="1">
      <x:c r="A32" s="3"/>
      <x:c r="B32" s="3"/>
    </x:row>
    <x:row r="33" ht="38" customHeight="1">
      <x:c r="A33" s="3"/>
      <x:c r="B33" s="3"/>
    </x:row>
    <x:row r="34" ht="38" customHeight="1">
      <x:c r="A34" s="3"/>
      <x:c r="B34" s="3"/>
    </x:row>
    <x:row r="35" ht="38" customHeight="1">
      <x:c r="A35" s="3"/>
      <x:c r="B35" s="3"/>
    </x:row>
    <x:row r="36" ht="38" customHeight="1">
      <x:c r="A36" s="3"/>
      <x:c r="B36" s="3"/>
    </x:row>
    <x:row r="37" ht="38" customHeight="1">
      <x:c r="A37" s="3"/>
      <x:c r="B37" s="3"/>
    </x:row>
    <x:row r="38" ht="38" customHeight="1">
      <x:c r="A38" s="3"/>
      <x:c r="B38" s="3"/>
    </x:row>
    <x:row r="39" ht="38" customHeight="1">
      <x:c r="A39" s="3"/>
      <x:c r="B39" s="3"/>
    </x:row>
    <x:row r="40" ht="38" customHeight="1">
      <x:c r="A40" s="3"/>
      <x:c r="B40" s="3"/>
    </x:row>
    <x:row r="41" ht="38" customHeight="1">
      <x:c r="A41" s="3"/>
      <x:c r="B41" s="3"/>
    </x:row>
    <x:row r="42" ht="38" customHeight="1">
      <x:c r="A42" s="3"/>
      <x:c r="B42" s="3"/>
    </x:row>
    <x:row r="43" ht="38" customHeight="1">
      <x:c r="A43" s="3"/>
      <x:c r="B43" s="3"/>
    </x:row>
    <x:row r="44" ht="38" customHeight="1">
      <x:c r="A44" s="3"/>
      <x:c r="B44" s="3"/>
    </x:row>
    <x:row r="45" ht="38" customHeight="1">
      <x:c r="A45" s="3"/>
      <x:c r="B45" s="3"/>
    </x:row>
    <x:row r="46" ht="38" customHeight="1">
      <x:c r="A46" s="3"/>
      <x:c r="B46" s="3"/>
    </x:row>
    <x:row r="47" ht="38" customHeight="1">
      <x:c r="A47" s="3"/>
      <x:c r="B47" s="3"/>
    </x:row>
    <x:row r="48" ht="38" customHeight="1">
      <x:c r="A48" s="3"/>
      <x:c r="B48" s="3"/>
    </x:row>
    <x:row r="49" ht="38" customHeight="1">
      <x:c r="A49" s="3"/>
      <x:c r="B49" s="3"/>
    </x:row>
    <x:row r="50" ht="38" customHeight="1">
      <x:c r="A50" s="3"/>
      <x:c r="B50" s="3"/>
    </x:row>
    <x:row r="51" ht="38" customHeight="1">
      <x:c r="A51" s="3"/>
      <x:c r="B51" s="3"/>
    </x:row>
    <x:row r="52" ht="38" customHeight="1">
      <x:c r="A52" s="3"/>
      <x:c r="B52" s="3"/>
    </x:row>
    <x:row r="53" ht="38" customHeight="1">
      <x:c r="A53" s="3"/>
      <x:c r="B53" s="3"/>
    </x:row>
    <x:row r="54" ht="38" customHeight="1">
      <x:c r="A54" s="3"/>
      <x:c r="B54" s="3"/>
    </x:row>
    <x:row r="55" ht="38" customHeight="1">
      <x:c r="A55" s="3"/>
      <x:c r="B55" s="3"/>
    </x:row>
    <x:row r="56" ht="38" customHeight="1">
      <x:c r="A56" s="3"/>
      <x:c r="B56" s="3"/>
    </x:row>
    <x:row r="57" ht="38" customHeight="1">
      <x:c r="A57" s="3"/>
      <x:c r="B57" s="3"/>
    </x:row>
    <x:row r="58" ht="38" customHeight="1">
      <x:c r="A58" s="3"/>
      <x:c r="B58" s="3"/>
    </x:row>
    <x:row r="59" ht="38" customHeight="1">
      <x:c r="A59" s="3"/>
      <x:c r="B59" s="3"/>
    </x:row>
    <x:row r="60" ht="38" customHeight="1">
      <x:c r="A60" s="3"/>
      <x:c r="B60" s="3"/>
    </x:row>
    <x:row r="61" ht="38" customHeight="1">
      <x:c r="A61" s="3"/>
      <x:c r="B61" s="3"/>
    </x:row>
    <x:row r="62" ht="38" customHeight="1">
      <x:c r="A62" s="3"/>
      <x:c r="B62" s="3"/>
    </x:row>
    <x:row r="63" ht="38" customHeight="1">
      <x:c r="A63" s="3"/>
      <x:c r="B63" s="3"/>
    </x:row>
    <x:row r="64" ht="38" customHeight="1">
      <x:c r="A64" s="3"/>
      <x:c r="B64" s="3"/>
    </x:row>
    <x:row r="65" ht="38" customHeight="1">
      <x:c r="A65" s="3"/>
      <x:c r="B65" s="3"/>
    </x:row>
    <x:row r="66" ht="38" customHeight="1">
      <x:c r="A66" s="3"/>
      <x:c r="B66" s="3"/>
    </x:row>
    <x:row r="67" ht="38" customHeight="1">
      <x:c r="A67" s="3"/>
      <x:c r="B67" s="3"/>
    </x:row>
    <x:row r="68" ht="38" customHeight="1">
      <x:c r="A68" s="3"/>
      <x:c r="B68" s="3"/>
    </x:row>
    <x:row r="69" ht="38" customHeight="1">
      <x:c r="A69" s="3"/>
      <x:c r="B69" s="3"/>
    </x:row>
    <x:row r="70" ht="38" customHeight="1">
      <x:c r="A70" s="3"/>
      <x:c r="B70" s="3"/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pageSetUpPr fitToPage="1"/>
  </ns0:sheetPr>
  <ns0:sheetViews>
    <ns0:sheetView showGridLines="0" workbookViewId="0">
      <ns0:pane ySplit="4" topLeftCell="A5" activePane="bottomLeft" state="frozen"/>
    </ns0:sheetView>
  </ns0:sheetViews>
  <ns0:sheetFormatPr defaultRowHeight="15"/>
  <ns0:cols>
    <ns0:col min="1" max="1" width="13" hidden="0" customWidth="1"/>
    <ns0:col min="2" max="2" width="13" hidden="0" customWidth="1"/>
    <ns0:col min="3" max="3" width="13" hidden="0" customWidth="1"/>
    <ns0:col min="4" max="4" width="13" hidden="0" customWidth="1"/>
    <ns0:col min="5" max="5" width="13" hidden="0" customWidth="1"/>
    <ns0:col min="6" max="6" width="13" hidden="0" customWidth="1"/>
    <ns0:col min="7" max="7" width="13" hidden="0" customWidth="1"/>
    <ns0:col min="8" max="8" width="13" hidden="0" customWidth="1"/>
    <ns0:col min="9" max="9" width="13" hidden="0" customWidth="1"/>
    <ns0:col min="10" max="10" width="13" hidden="0" customWidth="1"/>
    <ns0:col min="11" max="11" width="13" hidden="0" customWidth="1"/>
    <ns0:col min="12" max="12" width="13" hidden="0" customWidth="1"/>
  </ns0:cols>
  <ns0:sheetData>
    <ns0:row r="1" ht="38" customHeight="1">
      <ns0:c r="A1" s="5" t="str">
        <ns0:v>組立正面</ns0:v>
      </ns0:c>
      <ns0:c r="B1" s="5"/>
      <ns0:c r="C1" s="5"/>
      <ns0:c r="D1" s="5"/>
      <ns0:c r="E1" s="5"/>
      <ns0:c r="F1" s="5"/>
      <ns0:c r="G1" s="5"/>
      <ns0:c r="H1" s="5"/>
      <ns0:c r="I1" s="5"/>
      <ns0:c r="J1" s="5"/>
      <ns0:c r="K1" s="5"/>
      <ns0:c r="L1" s="5"/>
    </ns0:row>
    <ns0:row r="2" ht="38" customHeight="1">
      <ns0:c r="A2" s="6" t="str">
        <ns0:v>Rev B-1　2026-10-24　製作承認：保留／原図指定と追加案を区別</ns0:v>
      </ns0:c>
      <ns0:c r="B2" s="6"/>
      <ns0:c r="C2" s="6"/>
      <ns0:c r="D2" s="6"/>
      <ns0:c r="E2" s="6"/>
      <ns0:c r="F2" s="6"/>
      <ns0:c r="G2" s="6"/>
      <ns0:c r="H2" s="6"/>
      <ns0:c r="I2" s="6"/>
      <ns0:c r="J2" s="6"/>
      <ns0:c r="K2" s="6"/>
      <ns0:c r="L2" s="6"/>
    </ns0:row>
    <ns0:row r="3" ht="38" customHeight="1">
      <ns0:c r="A3" s="3"/>
      <ns0:c r="B3" s="3"/>
      <ns0:c r="C3" s="3"/>
      <ns0:c r="D3" s="3"/>
      <ns0:c r="E3" s="3"/>
      <ns0:c r="F3" s="3"/>
      <ns0:c r="G3" s="3"/>
      <ns0:c r="H3" s="3"/>
      <ns0:c r="I3" s="3"/>
      <ns0:c r="J3" s="3"/>
      <ns0:c r="K3" s="3"/>
      <ns0:c r="L3" s="3"/>
    </ns0:row>
    <ns0:row r="4" ht="20" customHeight="1">
      <ns0:c r="A4" s="3"/>
      <ns0:c r="B4" s="3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</ns0:row>
    <ns0:row r="5" ht="20" customHeight="1">
      <ns0:c r="A5" s="3"/>
      <ns0:c r="B5" s="3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</ns0:row>
    <ns0:row r="6" ht="20" customHeight="1">
      <ns0:c r="A6" s="3"/>
      <ns0:c r="B6" s="3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</ns0:row>
    <ns0:row r="7" ht="20" customHeight="1">
      <ns0:c r="A7" s="3"/>
      <ns0:c r="B7" s="3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</ns0:row>
    <ns0:row r="8" ht="20" customHeight="1">
      <ns0:c r="A8" s="3"/>
      <ns0:c r="B8" s="3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</ns0:row>
    <ns0:row r="9" ht="20" customHeight="1">
      <ns0:c r="A9" s="3"/>
      <ns0:c r="B9" s="3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</ns0:row>
    <ns0:row r="10" ht="20" customHeight="1">
      <ns0:c r="A10" s="3"/>
      <ns0:c r="B10" s="3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</ns0:row>
    <ns0:row r="11" ht="20" customHeight="1">
      <ns0:c r="A11" s="3"/>
      <ns0:c r="B11" s="3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</ns0:row>
    <ns0:row r="12" ht="20" customHeight="1">
      <ns0:c r="A12" s="3"/>
      <ns0:c r="B12" s="3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</ns0:row>
    <ns0:row r="13" ht="20" customHeight="1">
      <ns0:c r="A13" s="3"/>
      <ns0:c r="B13" s="3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</ns0:row>
    <ns0:row r="14" ht="20" customHeight="1">
      <ns0:c r="A14" s="3"/>
      <ns0:c r="B14" s="3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</ns0:row>
    <ns0:row r="15" ht="20" customHeight="1">
      <ns0:c r="A15" s="3"/>
      <ns0:c r="B15" s="3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</ns0:row>
    <ns0:row r="16" ht="20" customHeight="1">
      <ns0:c r="A16" s="3"/>
      <ns0:c r="B16" s="3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</ns0:row>
    <ns0:row r="17" ht="20" customHeight="1">
      <ns0:c r="A17" s="3"/>
      <ns0:c r="B17" s="3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</ns0:row>
    <ns0:row r="18" ht="20" customHeight="1">
      <ns0:c r="A18" s="3"/>
      <ns0:c r="B18" s="3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</ns0:row>
    <ns0:row r="19" ht="20" customHeight="1">
      <ns0:c r="A19" s="3"/>
      <ns0:c r="B19" s="3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</ns0:row>
    <ns0:row r="20" ht="20" customHeight="1">
      <ns0:c r="A20" s="3"/>
      <ns0:c r="B20" s="3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</ns0:row>
    <ns0:row r="21" ht="20" customHeight="1">
      <ns0:c r="A21" s="3"/>
      <ns0:c r="B21" s="3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</ns0:row>
    <ns0:row r="22" ht="20" customHeight="1">
      <ns0:c r="A22" s="3"/>
      <ns0:c r="B22" s="3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</ns0:row>
    <ns0:row r="23" ht="20" customHeight="1">
      <ns0:c r="A23" s="3"/>
      <ns0:c r="B23" s="3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</ns0:row>
    <ns0:row r="24" ht="20" customHeight="1">
      <ns0:c r="A24" s="3"/>
      <ns0:c r="B24" s="3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</ns0:row>
    <ns0:row r="25" ht="20" customHeight="1">
      <ns0:c r="A25" s="3"/>
      <ns0:c r="B25" s="3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</ns0:row>
    <ns0:row r="26" ht="20" customHeight="1">
      <ns0:c r="A26" s="3"/>
      <ns0:c r="B26" s="3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</ns0:row>
    <ns0:row r="27" ht="20" customHeight="1">
      <ns0:c r="A27" s="3"/>
      <ns0:c r="B27" s="3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</ns0:row>
    <ns0:row r="28" ht="20" customHeight="1">
      <ns0:c r="A28" s="3"/>
      <ns0:c r="B28" s="3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</ns0:row>
    <ns0:row r="29" ht="20" customHeight="1">
      <ns0:c r="A29" s="3"/>
      <ns0:c r="B29" s="3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</ns0:row>
    <ns0:row r="30" ht="20" customHeight="1">
      <ns0:c r="A30" s="3"/>
      <ns0:c r="B30" s="3"/>
      <ns0:c r="C30" s="3"/>
      <ns0:c r="D30" s="3"/>
      <ns0:c r="E30" s="3"/>
      <ns0:c r="F30" s="3"/>
      <ns0:c r="G30" s="3"/>
      <ns0:c r="H30" s="3"/>
      <ns0:c r="I30" s="3"/>
      <ns0:c r="J30" s="3"/>
      <ns0:c r="K30" s="3"/>
      <ns0:c r="L30" s="3"/>
    </ns0:row>
    <ns0:row r="31" ht="20" customHeight="1">
      <ns0:c r="A31" s="3"/>
      <ns0:c r="B31" s="3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</ns0:row>
    <ns0:row r="32" ht="20" customHeight="1">
      <ns0:c r="A32" s="3"/>
      <ns0:c r="B32" s="3"/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</ns0:row>
    <ns0:row r="33" ht="20" customHeight="1">
      <ns0:c r="A33" s="3"/>
      <ns0:c r="B33" s="3"/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</ns0:row>
    <ns0:row r="34" ht="20" customHeight="1">
      <ns0:c r="A34" s="3"/>
      <ns0:c r="B34" s="3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</ns0:row>
    <ns0:row r="35" ht="20" customHeight="1">
      <ns0:c r="A35" s="3"/>
      <ns0:c r="B35" s="3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</ns0:row>
    <ns0:row r="36" ht="20" customHeight="1">
      <ns0:c r="A36" s="3"/>
      <ns0:c r="B36" s="3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</ns0:row>
    <ns0:row r="37" ht="20" customHeight="1">
      <ns0:c r="A37" s="3"/>
      <ns0:c r="B37" s="3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</ns0:row>
    <ns0:row r="38" ht="20" customHeight="1">
      <ns0:c r="A38" s="3"/>
      <ns0:c r="B38" s="3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</ns0:row>
    <ns0:row r="39" ht="20" customHeight="1">
      <ns0:c r="A39" s="3"/>
      <ns0:c r="B39" s="3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</ns0:row>
    <ns0:row r="40" ht="20" customHeight="1">
      <ns0:c r="A40" s="3"/>
      <ns0:c r="B40" s="3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</ns0:row>
    <ns0:row r="41" ht="20" customHeight="1">
      <ns0:c r="A41" s="3"/>
      <ns0:c r="B41" s="3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</ns0:row>
    <ns0:row r="42" ht="38" customHeight="1">
      <ns0:c r="A42" s="3"/>
      <ns0:c r="B42" s="3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</ns0:row>
    <ns0:row r="43" ht="38" customHeight="1">
      <ns0:c r="A43" s="3"/>
      <ns0:c r="B43" s="3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</ns0:row>
  </ns0:sheetData>
  <ns0:mergeCells>
    <ns0:mergeCell ref="A1:L1"/>
    <ns0:mergeCell ref="A2:L2"/>
  </ns0:mergeCells>
  <ns0:pageMargins left="0.7" right="0.7" top="0.75" bottom="0.75" header="0.3" footer="0.3"/>
  <ns0:pageSetup paperSize="8" orientation="landscape" fitToWidth="1" fitToHeight="1"/>
  <ns0:drawing ns1:id="R9a7812b02a6a467a"/>
</ns0: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pageSetUpPr fitToPage="1"/>
  </ns0:sheetPr>
  <ns0:sheetViews>
    <ns0:sheetView showGridLines="0" workbookViewId="0">
      <ns0:pane ySplit="4" topLeftCell="A5" activePane="bottomLeft" state="frozen"/>
    </ns0:sheetView>
  </ns0:sheetViews>
  <ns0:sheetFormatPr defaultRowHeight="15"/>
  <ns0:cols>
    <ns0:col min="1" max="1" width="13" hidden="0" customWidth="1"/>
    <ns0:col min="2" max="2" width="13" hidden="0" customWidth="1"/>
    <ns0:col min="3" max="3" width="13" hidden="0" customWidth="1"/>
    <ns0:col min="4" max="4" width="13" hidden="0" customWidth="1"/>
    <ns0:col min="5" max="5" width="13" hidden="0" customWidth="1"/>
    <ns0:col min="6" max="6" width="13" hidden="0" customWidth="1"/>
    <ns0:col min="7" max="7" width="13" hidden="0" customWidth="1"/>
    <ns0:col min="8" max="8" width="13" hidden="0" customWidth="1"/>
    <ns0:col min="9" max="9" width="13" hidden="0" customWidth="1"/>
    <ns0:col min="10" max="10" width="13" hidden="0" customWidth="1"/>
    <ns0:col min="11" max="11" width="13" hidden="0" customWidth="1"/>
    <ns0:col min="12" max="12" width="13" hidden="0" customWidth="1"/>
  </ns0:cols>
  <ns0:sheetData>
    <ns0:row r="1" ht="38" customHeight="1">
      <ns0:c r="A1" s="5" t="str">
        <ns0:v>組立平面</ns0:v>
      </ns0:c>
      <ns0:c r="B1" s="5"/>
      <ns0:c r="C1" s="5"/>
      <ns0:c r="D1" s="5"/>
      <ns0:c r="E1" s="5"/>
      <ns0:c r="F1" s="5"/>
      <ns0:c r="G1" s="5"/>
      <ns0:c r="H1" s="5"/>
      <ns0:c r="I1" s="5"/>
      <ns0:c r="J1" s="5"/>
      <ns0:c r="K1" s="5"/>
      <ns0:c r="L1" s="5"/>
    </ns0:row>
    <ns0:row r="2" ht="38" customHeight="1">
      <ns0:c r="A2" s="6" t="str">
        <ns0:v>Rev B-1　2026-10-24　製作承認：保留／原図指定と追加案を区別</ns0:v>
      </ns0:c>
      <ns0:c r="B2" s="6"/>
      <ns0:c r="C2" s="6"/>
      <ns0:c r="D2" s="6"/>
      <ns0:c r="E2" s="6"/>
      <ns0:c r="F2" s="6"/>
      <ns0:c r="G2" s="6"/>
      <ns0:c r="H2" s="6"/>
      <ns0:c r="I2" s="6"/>
      <ns0:c r="J2" s="6"/>
      <ns0:c r="K2" s="6"/>
      <ns0:c r="L2" s="6"/>
    </ns0:row>
    <ns0:row r="3" ht="38" customHeight="1">
      <ns0:c r="A3" s="3"/>
      <ns0:c r="B3" s="3"/>
      <ns0:c r="C3" s="3"/>
      <ns0:c r="D3" s="3"/>
      <ns0:c r="E3" s="3"/>
      <ns0:c r="F3" s="3"/>
      <ns0:c r="G3" s="3"/>
      <ns0:c r="H3" s="3"/>
      <ns0:c r="I3" s="3"/>
      <ns0:c r="J3" s="3"/>
      <ns0:c r="K3" s="3"/>
      <ns0:c r="L3" s="3"/>
    </ns0:row>
    <ns0:row r="4" ht="20" customHeight="1">
      <ns0:c r="A4" s="3"/>
      <ns0:c r="B4" s="3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</ns0:row>
    <ns0:row r="5" ht="20" customHeight="1">
      <ns0:c r="A5" s="3"/>
      <ns0:c r="B5" s="3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</ns0:row>
    <ns0:row r="6" ht="20" customHeight="1">
      <ns0:c r="A6" s="3"/>
      <ns0:c r="B6" s="3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</ns0:row>
    <ns0:row r="7" ht="20" customHeight="1">
      <ns0:c r="A7" s="3"/>
      <ns0:c r="B7" s="3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</ns0:row>
    <ns0:row r="8" ht="20" customHeight="1">
      <ns0:c r="A8" s="3"/>
      <ns0:c r="B8" s="3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</ns0:row>
    <ns0:row r="9" ht="20" customHeight="1">
      <ns0:c r="A9" s="3"/>
      <ns0:c r="B9" s="3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</ns0:row>
    <ns0:row r="10" ht="20" customHeight="1">
      <ns0:c r="A10" s="3"/>
      <ns0:c r="B10" s="3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</ns0:row>
    <ns0:row r="11" ht="20" customHeight="1">
      <ns0:c r="A11" s="3"/>
      <ns0:c r="B11" s="3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</ns0:row>
    <ns0:row r="12" ht="20" customHeight="1">
      <ns0:c r="A12" s="3"/>
      <ns0:c r="B12" s="3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</ns0:row>
    <ns0:row r="13" ht="20" customHeight="1">
      <ns0:c r="A13" s="3"/>
      <ns0:c r="B13" s="3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</ns0:row>
    <ns0:row r="14" ht="20" customHeight="1">
      <ns0:c r="A14" s="3"/>
      <ns0:c r="B14" s="3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</ns0:row>
    <ns0:row r="15" ht="20" customHeight="1">
      <ns0:c r="A15" s="3"/>
      <ns0:c r="B15" s="3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</ns0:row>
    <ns0:row r="16" ht="20" customHeight="1">
      <ns0:c r="A16" s="3"/>
      <ns0:c r="B16" s="3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</ns0:row>
    <ns0:row r="17" ht="20" customHeight="1">
      <ns0:c r="A17" s="3"/>
      <ns0:c r="B17" s="3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</ns0:row>
    <ns0:row r="18" ht="20" customHeight="1">
      <ns0:c r="A18" s="3"/>
      <ns0:c r="B18" s="3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</ns0:row>
    <ns0:row r="19" ht="20" customHeight="1">
      <ns0:c r="A19" s="3"/>
      <ns0:c r="B19" s="3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</ns0:row>
    <ns0:row r="20" ht="20" customHeight="1">
      <ns0:c r="A20" s="3"/>
      <ns0:c r="B20" s="3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</ns0:row>
    <ns0:row r="21" ht="20" customHeight="1">
      <ns0:c r="A21" s="3"/>
      <ns0:c r="B21" s="3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</ns0:row>
    <ns0:row r="22" ht="20" customHeight="1">
      <ns0:c r="A22" s="3"/>
      <ns0:c r="B22" s="3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</ns0:row>
    <ns0:row r="23" ht="20" customHeight="1">
      <ns0:c r="A23" s="3"/>
      <ns0:c r="B23" s="3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</ns0:row>
    <ns0:row r="24" ht="20" customHeight="1">
      <ns0:c r="A24" s="3"/>
      <ns0:c r="B24" s="3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</ns0:row>
    <ns0:row r="25" ht="20" customHeight="1">
      <ns0:c r="A25" s="3"/>
      <ns0:c r="B25" s="3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</ns0:row>
    <ns0:row r="26" ht="20" customHeight="1">
      <ns0:c r="A26" s="3"/>
      <ns0:c r="B26" s="3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</ns0:row>
    <ns0:row r="27" ht="20" customHeight="1">
      <ns0:c r="A27" s="3"/>
      <ns0:c r="B27" s="3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</ns0:row>
    <ns0:row r="28" ht="20" customHeight="1">
      <ns0:c r="A28" s="3"/>
      <ns0:c r="B28" s="3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</ns0:row>
    <ns0:row r="29" ht="20" customHeight="1">
      <ns0:c r="A29" s="3"/>
      <ns0:c r="B29" s="3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</ns0:row>
    <ns0:row r="30" ht="20" customHeight="1">
      <ns0:c r="A30" s="3"/>
      <ns0:c r="B30" s="3"/>
      <ns0:c r="C30" s="3"/>
      <ns0:c r="D30" s="3"/>
      <ns0:c r="E30" s="3"/>
      <ns0:c r="F30" s="3"/>
      <ns0:c r="G30" s="3"/>
      <ns0:c r="H30" s="3"/>
      <ns0:c r="I30" s="3"/>
      <ns0:c r="J30" s="3"/>
      <ns0:c r="K30" s="3"/>
      <ns0:c r="L30" s="3"/>
    </ns0:row>
    <ns0:row r="31" ht="20" customHeight="1">
      <ns0:c r="A31" s="3"/>
      <ns0:c r="B31" s="3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</ns0:row>
    <ns0:row r="32" ht="20" customHeight="1">
      <ns0:c r="A32" s="3"/>
      <ns0:c r="B32" s="3"/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</ns0:row>
    <ns0:row r="33" ht="20" customHeight="1">
      <ns0:c r="A33" s="3"/>
      <ns0:c r="B33" s="3"/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</ns0:row>
    <ns0:row r="34" ht="20" customHeight="1">
      <ns0:c r="A34" s="3"/>
      <ns0:c r="B34" s="3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</ns0:row>
    <ns0:row r="35" ht="20" customHeight="1">
      <ns0:c r="A35" s="3"/>
      <ns0:c r="B35" s="3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</ns0:row>
    <ns0:row r="36" ht="20" customHeight="1">
      <ns0:c r="A36" s="3"/>
      <ns0:c r="B36" s="3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</ns0:row>
    <ns0:row r="37" ht="20" customHeight="1">
      <ns0:c r="A37" s="3"/>
      <ns0:c r="B37" s="3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</ns0:row>
    <ns0:row r="38" ht="20" customHeight="1">
      <ns0:c r="A38" s="3"/>
      <ns0:c r="B38" s="3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</ns0:row>
    <ns0:row r="39" ht="20" customHeight="1">
      <ns0:c r="A39" s="3"/>
      <ns0:c r="B39" s="3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</ns0:row>
    <ns0:row r="40" ht="20" customHeight="1">
      <ns0:c r="A40" s="3"/>
      <ns0:c r="B40" s="3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</ns0:row>
    <ns0:row r="41" ht="20" customHeight="1">
      <ns0:c r="A41" s="3"/>
      <ns0:c r="B41" s="3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</ns0:row>
    <ns0:row r="42" ht="38" customHeight="1">
      <ns0:c r="A42" s="3"/>
      <ns0:c r="B42" s="3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</ns0:row>
    <ns0:row r="43" ht="38" customHeight="1">
      <ns0:c r="A43" s="3"/>
      <ns0:c r="B43" s="3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</ns0:row>
  </ns0:sheetData>
  <ns0:mergeCells>
    <ns0:mergeCell ref="A1:L1"/>
    <ns0:mergeCell ref="A2:L2"/>
  </ns0:mergeCells>
  <ns0:pageMargins left="0.7" right="0.7" top="0.75" bottom="0.75" header="0.3" footer="0.3"/>
  <ns0:pageSetup paperSize="8" orientation="landscape" fitToWidth="1" fitToHeight="1"/>
  <ns0:drawing ns1:id="R5404a927cf7b4b65"/>
</ns0:worksheet>
</file>

<file path=xl/worksheets/sheet4.xml><?xml version="1.0" encoding="utf-8"?>
<ns0:worksheet xmlns:ns0="http://schemas.openxmlformats.org/spreadsheetml/2006/main" xmlns:ns1="http://schemas.openxmlformats.org/officeDocument/2006/relationships">
  <ns0:sheetPr>
    <ns0:pageSetUpPr fitToPage="1"/>
  </ns0:sheetPr>
  <ns0:sheetViews>
    <ns0:sheetView showGridLines="0" workbookViewId="0">
      <ns0:pane ySplit="4" topLeftCell="A5" activePane="bottomLeft" state="frozen"/>
    </ns0:sheetView>
  </ns0:sheetViews>
  <ns0:sheetFormatPr defaultRowHeight="15"/>
  <ns0:cols>
    <ns0:col min="1" max="1" width="13" hidden="0" customWidth="1"/>
    <ns0:col min="2" max="2" width="13" hidden="0" customWidth="1"/>
    <ns0:col min="3" max="3" width="13" hidden="0" customWidth="1"/>
    <ns0:col min="4" max="4" width="13" hidden="0" customWidth="1"/>
    <ns0:col min="5" max="5" width="13" hidden="0" customWidth="1"/>
    <ns0:col min="6" max="6" width="13" hidden="0" customWidth="1"/>
    <ns0:col min="7" max="7" width="13" hidden="0" customWidth="1"/>
    <ns0:col min="8" max="8" width="13" hidden="0" customWidth="1"/>
    <ns0:col min="9" max="9" width="13" hidden="0" customWidth="1"/>
    <ns0:col min="10" max="10" width="13" hidden="0" customWidth="1"/>
    <ns0:col min="11" max="11" width="13" hidden="0" customWidth="1"/>
    <ns0:col min="12" max="12" width="13" hidden="0" customWidth="1"/>
  </ns0:cols>
  <ns0:sheetData>
    <ns0:row r="1" ht="38" customHeight="1">
      <ns0:c r="A1" s="5" t="str">
        <ns0:v>組立右側面</ns0:v>
      </ns0:c>
      <ns0:c r="B1" s="5"/>
      <ns0:c r="C1" s="5"/>
      <ns0:c r="D1" s="5"/>
      <ns0:c r="E1" s="5"/>
      <ns0:c r="F1" s="5"/>
      <ns0:c r="G1" s="5"/>
      <ns0:c r="H1" s="5"/>
      <ns0:c r="I1" s="5"/>
      <ns0:c r="J1" s="5"/>
      <ns0:c r="K1" s="5"/>
      <ns0:c r="L1" s="5"/>
    </ns0:row>
    <ns0:row r="2" ht="38" customHeight="1">
      <ns0:c r="A2" s="6" t="str">
        <ns0:v>Rev B-1　2026-10-24　製作承認：保留／原図指定と追加案を区別</ns0:v>
      </ns0:c>
      <ns0:c r="B2" s="6"/>
      <ns0:c r="C2" s="6"/>
      <ns0:c r="D2" s="6"/>
      <ns0:c r="E2" s="6"/>
      <ns0:c r="F2" s="6"/>
      <ns0:c r="G2" s="6"/>
      <ns0:c r="H2" s="6"/>
      <ns0:c r="I2" s="6"/>
      <ns0:c r="J2" s="6"/>
      <ns0:c r="K2" s="6"/>
      <ns0:c r="L2" s="6"/>
    </ns0:row>
    <ns0:row r="3" ht="38" customHeight="1">
      <ns0:c r="A3" s="3"/>
      <ns0:c r="B3" s="3"/>
      <ns0:c r="C3" s="3"/>
      <ns0:c r="D3" s="3"/>
      <ns0:c r="E3" s="3"/>
      <ns0:c r="F3" s="3"/>
      <ns0:c r="G3" s="3"/>
      <ns0:c r="H3" s="3"/>
      <ns0:c r="I3" s="3"/>
      <ns0:c r="J3" s="3"/>
      <ns0:c r="K3" s="3"/>
      <ns0:c r="L3" s="3"/>
    </ns0:row>
    <ns0:row r="4" ht="20" customHeight="1">
      <ns0:c r="A4" s="3"/>
      <ns0:c r="B4" s="3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</ns0:row>
    <ns0:row r="5" ht="20" customHeight="1">
      <ns0:c r="A5" s="3"/>
      <ns0:c r="B5" s="3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</ns0:row>
    <ns0:row r="6" ht="20" customHeight="1">
      <ns0:c r="A6" s="3"/>
      <ns0:c r="B6" s="3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</ns0:row>
    <ns0:row r="7" ht="20" customHeight="1">
      <ns0:c r="A7" s="3"/>
      <ns0:c r="B7" s="3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</ns0:row>
    <ns0:row r="8" ht="20" customHeight="1">
      <ns0:c r="A8" s="3"/>
      <ns0:c r="B8" s="3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</ns0:row>
    <ns0:row r="9" ht="20" customHeight="1">
      <ns0:c r="A9" s="3"/>
      <ns0:c r="B9" s="3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</ns0:row>
    <ns0:row r="10" ht="20" customHeight="1">
      <ns0:c r="A10" s="3"/>
      <ns0:c r="B10" s="3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</ns0:row>
    <ns0:row r="11" ht="20" customHeight="1">
      <ns0:c r="A11" s="3"/>
      <ns0:c r="B11" s="3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</ns0:row>
    <ns0:row r="12" ht="20" customHeight="1">
      <ns0:c r="A12" s="3"/>
      <ns0:c r="B12" s="3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</ns0:row>
    <ns0:row r="13" ht="20" customHeight="1">
      <ns0:c r="A13" s="3"/>
      <ns0:c r="B13" s="3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</ns0:row>
    <ns0:row r="14" ht="20" customHeight="1">
      <ns0:c r="A14" s="3"/>
      <ns0:c r="B14" s="3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</ns0:row>
    <ns0:row r="15" ht="20" customHeight="1">
      <ns0:c r="A15" s="3"/>
      <ns0:c r="B15" s="3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</ns0:row>
    <ns0:row r="16" ht="20" customHeight="1">
      <ns0:c r="A16" s="3"/>
      <ns0:c r="B16" s="3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</ns0:row>
    <ns0:row r="17" ht="20" customHeight="1">
      <ns0:c r="A17" s="3"/>
      <ns0:c r="B17" s="3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</ns0:row>
    <ns0:row r="18" ht="20" customHeight="1">
      <ns0:c r="A18" s="3"/>
      <ns0:c r="B18" s="3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</ns0:row>
    <ns0:row r="19" ht="20" customHeight="1">
      <ns0:c r="A19" s="3"/>
      <ns0:c r="B19" s="3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</ns0:row>
    <ns0:row r="20" ht="20" customHeight="1">
      <ns0:c r="A20" s="3"/>
      <ns0:c r="B20" s="3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</ns0:row>
    <ns0:row r="21" ht="20" customHeight="1">
      <ns0:c r="A21" s="3"/>
      <ns0:c r="B21" s="3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</ns0:row>
    <ns0:row r="22" ht="20" customHeight="1">
      <ns0:c r="A22" s="3"/>
      <ns0:c r="B22" s="3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</ns0:row>
    <ns0:row r="23" ht="20" customHeight="1">
      <ns0:c r="A23" s="3"/>
      <ns0:c r="B23" s="3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</ns0:row>
    <ns0:row r="24" ht="20" customHeight="1">
      <ns0:c r="A24" s="3"/>
      <ns0:c r="B24" s="3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</ns0:row>
    <ns0:row r="25" ht="20" customHeight="1">
      <ns0:c r="A25" s="3"/>
      <ns0:c r="B25" s="3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</ns0:row>
    <ns0:row r="26" ht="20" customHeight="1">
      <ns0:c r="A26" s="3"/>
      <ns0:c r="B26" s="3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</ns0:row>
    <ns0:row r="27" ht="20" customHeight="1">
      <ns0:c r="A27" s="3"/>
      <ns0:c r="B27" s="3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</ns0:row>
    <ns0:row r="28" ht="20" customHeight="1">
      <ns0:c r="A28" s="3"/>
      <ns0:c r="B28" s="3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</ns0:row>
    <ns0:row r="29" ht="20" customHeight="1">
      <ns0:c r="A29" s="3"/>
      <ns0:c r="B29" s="3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</ns0:row>
    <ns0:row r="30" ht="20" customHeight="1">
      <ns0:c r="A30" s="3"/>
      <ns0:c r="B30" s="3"/>
      <ns0:c r="C30" s="3"/>
      <ns0:c r="D30" s="3"/>
      <ns0:c r="E30" s="3"/>
      <ns0:c r="F30" s="3"/>
      <ns0:c r="G30" s="3"/>
      <ns0:c r="H30" s="3"/>
      <ns0:c r="I30" s="3"/>
      <ns0:c r="J30" s="3"/>
      <ns0:c r="K30" s="3"/>
      <ns0:c r="L30" s="3"/>
    </ns0:row>
    <ns0:row r="31" ht="20" customHeight="1">
      <ns0:c r="A31" s="3"/>
      <ns0:c r="B31" s="3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</ns0:row>
    <ns0:row r="32" ht="20" customHeight="1">
      <ns0:c r="A32" s="3"/>
      <ns0:c r="B32" s="3"/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</ns0:row>
    <ns0:row r="33" ht="20" customHeight="1">
      <ns0:c r="A33" s="3"/>
      <ns0:c r="B33" s="3"/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</ns0:row>
    <ns0:row r="34" ht="20" customHeight="1">
      <ns0:c r="A34" s="3"/>
      <ns0:c r="B34" s="3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</ns0:row>
    <ns0:row r="35" ht="20" customHeight="1">
      <ns0:c r="A35" s="3"/>
      <ns0:c r="B35" s="3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</ns0:row>
    <ns0:row r="36" ht="20" customHeight="1">
      <ns0:c r="A36" s="3"/>
      <ns0:c r="B36" s="3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</ns0:row>
    <ns0:row r="37" ht="20" customHeight="1">
      <ns0:c r="A37" s="3"/>
      <ns0:c r="B37" s="3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</ns0:row>
    <ns0:row r="38" ht="20" customHeight="1">
      <ns0:c r="A38" s="3"/>
      <ns0:c r="B38" s="3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</ns0:row>
    <ns0:row r="39" ht="20" customHeight="1">
      <ns0:c r="A39" s="3"/>
      <ns0:c r="B39" s="3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</ns0:row>
    <ns0:row r="40" ht="20" customHeight="1">
      <ns0:c r="A40" s="3"/>
      <ns0:c r="B40" s="3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</ns0:row>
    <ns0:row r="41" ht="20" customHeight="1">
      <ns0:c r="A41" s="3"/>
      <ns0:c r="B41" s="3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</ns0:row>
    <ns0:row r="42" ht="38" customHeight="1">
      <ns0:c r="A42" s="3"/>
      <ns0:c r="B42" s="3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</ns0:row>
    <ns0:row r="43" ht="38" customHeight="1">
      <ns0:c r="A43" s="3"/>
      <ns0:c r="B43" s="3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</ns0:row>
  </ns0:sheetData>
  <ns0:mergeCells>
    <ns0:mergeCell ref="A1:L1"/>
    <ns0:mergeCell ref="A2:L2"/>
  </ns0:mergeCells>
  <ns0:pageMargins left="0.7" right="0.7" top="0.75" bottom="0.75" header="0.3" footer="0.3"/>
  <ns0:pageSetup paperSize="8" orientation="landscape" fitToWidth="1" fitToHeight="1"/>
  <ns0:drawing ns1:id="R87cb22f9636d4448"/>
</ns0:worksheet>
</file>

<file path=xl/worksheets/sheet5.xml><?xml version="1.0" encoding="utf-8"?>
<ns0:worksheet xmlns:ns0="http://schemas.openxmlformats.org/spreadsheetml/2006/main" xmlns:ns1="http://schemas.openxmlformats.org/officeDocument/2006/relationships">
  <ns0:sheetPr>
    <ns0:pageSetUpPr fitToPage="1"/>
  </ns0:sheetPr>
  <ns0:sheetViews>
    <ns0:sheetView showGridLines="0" workbookViewId="0">
      <ns0:pane ySplit="4" topLeftCell="A5" activePane="bottomLeft" state="frozen"/>
    </ns0:sheetView>
  </ns0:sheetViews>
  <ns0:sheetFormatPr defaultRowHeight="15"/>
  <ns0:cols>
    <ns0:col min="1" max="1" width="13" hidden="0" customWidth="1"/>
    <ns0:col min="2" max="2" width="13" hidden="0" customWidth="1"/>
    <ns0:col min="3" max="3" width="13" hidden="0" customWidth="1"/>
    <ns0:col min="4" max="4" width="13" hidden="0" customWidth="1"/>
    <ns0:col min="5" max="5" width="13" hidden="0" customWidth="1"/>
    <ns0:col min="6" max="6" width="13" hidden="0" customWidth="1"/>
    <ns0:col min="7" max="7" width="13" hidden="0" customWidth="1"/>
    <ns0:col min="8" max="8" width="13" hidden="0" customWidth="1"/>
    <ns0:col min="9" max="9" width="13" hidden="0" customWidth="1"/>
    <ns0:col min="10" max="10" width="13" hidden="0" customWidth="1"/>
    <ns0:col min="11" max="11" width="13" hidden="0" customWidth="1"/>
    <ns0:col min="12" max="12" width="13" hidden="0" customWidth="1"/>
  </ns0:cols>
  <ns0:sheetData>
    <ns0:row r="1" ht="38" customHeight="1">
      <ns0:c r="A1" s="5" t="str">
        <ns0:v>ゲート詳細</ns0:v>
      </ns0:c>
      <ns0:c r="B1" s="5"/>
      <ns0:c r="C1" s="5"/>
      <ns0:c r="D1" s="5"/>
      <ns0:c r="E1" s="5"/>
      <ns0:c r="F1" s="5"/>
      <ns0:c r="G1" s="5"/>
      <ns0:c r="H1" s="5"/>
      <ns0:c r="I1" s="5"/>
      <ns0:c r="J1" s="5"/>
      <ns0:c r="K1" s="5"/>
      <ns0:c r="L1" s="5"/>
    </ns0:row>
    <ns0:row r="2" ht="38" customHeight="1">
      <ns0:c r="A2" s="6" t="str">
        <ns0:v>Rev B-1　2026-10-24　製作承認：保留／原図指定と追加案を区別</ns0:v>
      </ns0:c>
      <ns0:c r="B2" s="6"/>
      <ns0:c r="C2" s="6"/>
      <ns0:c r="D2" s="6"/>
      <ns0:c r="E2" s="6"/>
      <ns0:c r="F2" s="6"/>
      <ns0:c r="G2" s="6"/>
      <ns0:c r="H2" s="6"/>
      <ns0:c r="I2" s="6"/>
      <ns0:c r="J2" s="6"/>
      <ns0:c r="K2" s="6"/>
      <ns0:c r="L2" s="6"/>
    </ns0:row>
    <ns0:row r="3" ht="38" customHeight="1">
      <ns0:c r="A3" s="3"/>
      <ns0:c r="B3" s="3"/>
      <ns0:c r="C3" s="3"/>
      <ns0:c r="D3" s="3"/>
      <ns0:c r="E3" s="3"/>
      <ns0:c r="F3" s="3"/>
      <ns0:c r="G3" s="3"/>
      <ns0:c r="H3" s="3"/>
      <ns0:c r="I3" s="3"/>
      <ns0:c r="J3" s="3"/>
      <ns0:c r="K3" s="3"/>
      <ns0:c r="L3" s="3"/>
    </ns0:row>
    <ns0:row r="4" ht="20" customHeight="1">
      <ns0:c r="A4" s="3"/>
      <ns0:c r="B4" s="3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</ns0:row>
    <ns0:row r="5" ht="20" customHeight="1">
      <ns0:c r="A5" s="3"/>
      <ns0:c r="B5" s="3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</ns0:row>
    <ns0:row r="6" ht="20" customHeight="1">
      <ns0:c r="A6" s="3"/>
      <ns0:c r="B6" s="3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</ns0:row>
    <ns0:row r="7" ht="20" customHeight="1">
      <ns0:c r="A7" s="3"/>
      <ns0:c r="B7" s="3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</ns0:row>
    <ns0:row r="8" ht="20" customHeight="1">
      <ns0:c r="A8" s="3"/>
      <ns0:c r="B8" s="3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</ns0:row>
    <ns0:row r="9" ht="20" customHeight="1">
      <ns0:c r="A9" s="3"/>
      <ns0:c r="B9" s="3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</ns0:row>
    <ns0:row r="10" ht="20" customHeight="1">
      <ns0:c r="A10" s="3"/>
      <ns0:c r="B10" s="3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</ns0:row>
    <ns0:row r="11" ht="20" customHeight="1">
      <ns0:c r="A11" s="3"/>
      <ns0:c r="B11" s="3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</ns0:row>
    <ns0:row r="12" ht="20" customHeight="1">
      <ns0:c r="A12" s="3"/>
      <ns0:c r="B12" s="3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</ns0:row>
    <ns0:row r="13" ht="20" customHeight="1">
      <ns0:c r="A13" s="3"/>
      <ns0:c r="B13" s="3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</ns0:row>
    <ns0:row r="14" ht="20" customHeight="1">
      <ns0:c r="A14" s="3"/>
      <ns0:c r="B14" s="3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</ns0:row>
    <ns0:row r="15" ht="20" customHeight="1">
      <ns0:c r="A15" s="3"/>
      <ns0:c r="B15" s="3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</ns0:row>
    <ns0:row r="16" ht="20" customHeight="1">
      <ns0:c r="A16" s="3"/>
      <ns0:c r="B16" s="3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</ns0:row>
    <ns0:row r="17" ht="20" customHeight="1">
      <ns0:c r="A17" s="3"/>
      <ns0:c r="B17" s="3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</ns0:row>
    <ns0:row r="18" ht="20" customHeight="1">
      <ns0:c r="A18" s="3"/>
      <ns0:c r="B18" s="3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</ns0:row>
    <ns0:row r="19" ht="20" customHeight="1">
      <ns0:c r="A19" s="3"/>
      <ns0:c r="B19" s="3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</ns0:row>
    <ns0:row r="20" ht="20" customHeight="1">
      <ns0:c r="A20" s="3"/>
      <ns0:c r="B20" s="3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</ns0:row>
    <ns0:row r="21" ht="20" customHeight="1">
      <ns0:c r="A21" s="3"/>
      <ns0:c r="B21" s="3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</ns0:row>
    <ns0:row r="22" ht="20" customHeight="1">
      <ns0:c r="A22" s="3"/>
      <ns0:c r="B22" s="3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</ns0:row>
    <ns0:row r="23" ht="20" customHeight="1">
      <ns0:c r="A23" s="3"/>
      <ns0:c r="B23" s="3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</ns0:row>
    <ns0:row r="24" ht="20" customHeight="1">
      <ns0:c r="A24" s="3"/>
      <ns0:c r="B24" s="3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</ns0:row>
    <ns0:row r="25" ht="20" customHeight="1">
      <ns0:c r="A25" s="3"/>
      <ns0:c r="B25" s="3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</ns0:row>
    <ns0:row r="26" ht="20" customHeight="1">
      <ns0:c r="A26" s="3"/>
      <ns0:c r="B26" s="3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</ns0:row>
    <ns0:row r="27" ht="20" customHeight="1">
      <ns0:c r="A27" s="3"/>
      <ns0:c r="B27" s="3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</ns0:row>
    <ns0:row r="28" ht="20" customHeight="1">
      <ns0:c r="A28" s="3"/>
      <ns0:c r="B28" s="3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</ns0:row>
    <ns0:row r="29" ht="20" customHeight="1">
      <ns0:c r="A29" s="3"/>
      <ns0:c r="B29" s="3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</ns0:row>
    <ns0:row r="30" ht="20" customHeight="1">
      <ns0:c r="A30" s="3"/>
      <ns0:c r="B30" s="3"/>
      <ns0:c r="C30" s="3"/>
      <ns0:c r="D30" s="3"/>
      <ns0:c r="E30" s="3"/>
      <ns0:c r="F30" s="3"/>
      <ns0:c r="G30" s="3"/>
      <ns0:c r="H30" s="3"/>
      <ns0:c r="I30" s="3"/>
      <ns0:c r="J30" s="3"/>
      <ns0:c r="K30" s="3"/>
      <ns0:c r="L30" s="3"/>
    </ns0:row>
    <ns0:row r="31" ht="20" customHeight="1">
      <ns0:c r="A31" s="3"/>
      <ns0:c r="B31" s="3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</ns0:row>
    <ns0:row r="32" ht="20" customHeight="1">
      <ns0:c r="A32" s="3"/>
      <ns0:c r="B32" s="3"/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</ns0:row>
    <ns0:row r="33" ht="20" customHeight="1">
      <ns0:c r="A33" s="3"/>
      <ns0:c r="B33" s="3"/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</ns0:row>
    <ns0:row r="34" ht="20" customHeight="1">
      <ns0:c r="A34" s="3"/>
      <ns0:c r="B34" s="3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</ns0:row>
    <ns0:row r="35" ht="20" customHeight="1">
      <ns0:c r="A35" s="3"/>
      <ns0:c r="B35" s="3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</ns0:row>
    <ns0:row r="36" ht="20" customHeight="1">
      <ns0:c r="A36" s="3"/>
      <ns0:c r="B36" s="3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</ns0:row>
    <ns0:row r="37" ht="20" customHeight="1">
      <ns0:c r="A37" s="3"/>
      <ns0:c r="B37" s="3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</ns0:row>
    <ns0:row r="38" ht="20" customHeight="1">
      <ns0:c r="A38" s="3"/>
      <ns0:c r="B38" s="3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</ns0:row>
    <ns0:row r="39" ht="20" customHeight="1">
      <ns0:c r="A39" s="3"/>
      <ns0:c r="B39" s="3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</ns0:row>
    <ns0:row r="40" ht="20" customHeight="1">
      <ns0:c r="A40" s="3"/>
      <ns0:c r="B40" s="3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</ns0:row>
    <ns0:row r="41" ht="20" customHeight="1">
      <ns0:c r="A41" s="3"/>
      <ns0:c r="B41" s="3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</ns0:row>
    <ns0:row r="42" ht="38" customHeight="1">
      <ns0:c r="A42" s="3"/>
      <ns0:c r="B42" s="3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</ns0:row>
    <ns0:row r="43" ht="38" customHeight="1">
      <ns0:c r="A43" s="3"/>
      <ns0:c r="B43" s="3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</ns0:row>
  </ns0:sheetData>
  <ns0:mergeCells>
    <ns0:mergeCell ref="A1:L1"/>
    <ns0:mergeCell ref="A2:L2"/>
  </ns0:mergeCells>
  <ns0:pageMargins left="0.7" right="0.7" top="0.75" bottom="0.75" header="0.3" footer="0.3"/>
  <ns0:pageSetup paperSize="8" orientation="landscape" fitToWidth="1" fitToHeight="1"/>
  <ns0:drawing ns1:id="R45b047c151a349c5"/>
</ns0:worksheet>
</file>

<file path=xl/worksheets/sheet6.xml><?xml version="1.0" encoding="utf-8"?>
<ns0:worksheet xmlns:ns0="http://schemas.openxmlformats.org/spreadsheetml/2006/main" xmlns:ns1="http://schemas.openxmlformats.org/officeDocument/2006/relationships">
  <ns0:sheetPr>
    <ns0:pageSetUpPr fitToPage="1"/>
  </ns0:sheetPr>
  <ns0:sheetViews>
    <ns0:sheetView showGridLines="0" workbookViewId="0">
      <ns0:pane ySplit="4" topLeftCell="A5" activePane="bottomLeft" state="frozen"/>
    </ns0:sheetView>
  </ns0:sheetViews>
  <ns0:sheetFormatPr defaultRowHeight="15"/>
  <ns0:cols>
    <ns0:col min="1" max="1" width="13" hidden="0" customWidth="1"/>
    <ns0:col min="2" max="2" width="13" hidden="0" customWidth="1"/>
    <ns0:col min="3" max="3" width="13" hidden="0" customWidth="1"/>
    <ns0:col min="4" max="4" width="13" hidden="0" customWidth="1"/>
    <ns0:col min="5" max="5" width="13" hidden="0" customWidth="1"/>
    <ns0:col min="6" max="6" width="13" hidden="0" customWidth="1"/>
    <ns0:col min="7" max="7" width="13" hidden="0" customWidth="1"/>
    <ns0:col min="8" max="8" width="13" hidden="0" customWidth="1"/>
    <ns0:col min="9" max="9" width="13" hidden="0" customWidth="1"/>
    <ns0:col min="10" max="10" width="13" hidden="0" customWidth="1"/>
    <ns0:col min="11" max="11" width="13" hidden="0" customWidth="1"/>
    <ns0:col min="12" max="12" width="13" hidden="0" customWidth="1"/>
  </ns0:cols>
  <ns0:sheetData>
    <ns0:row r="1" ht="38" customHeight="1">
      <ns0:c r="A1" s="5" t="str">
        <ns0:v>ガイド詳細</ns0:v>
      </ns0:c>
      <ns0:c r="B1" s="5"/>
      <ns0:c r="C1" s="5"/>
      <ns0:c r="D1" s="5"/>
      <ns0:c r="E1" s="5"/>
      <ns0:c r="F1" s="5"/>
      <ns0:c r="G1" s="5"/>
      <ns0:c r="H1" s="5"/>
      <ns0:c r="I1" s="5"/>
      <ns0:c r="J1" s="5"/>
      <ns0:c r="K1" s="5"/>
      <ns0:c r="L1" s="5"/>
    </ns0:row>
    <ns0:row r="2" ht="38" customHeight="1">
      <ns0:c r="A2" s="6" t="str">
        <ns0:v>Rev B-1　2026-10-24　製作承認：保留／原図指定と追加案を区別</ns0:v>
      </ns0:c>
      <ns0:c r="B2" s="6"/>
      <ns0:c r="C2" s="6"/>
      <ns0:c r="D2" s="6"/>
      <ns0:c r="E2" s="6"/>
      <ns0:c r="F2" s="6"/>
      <ns0:c r="G2" s="6"/>
      <ns0:c r="H2" s="6"/>
      <ns0:c r="I2" s="6"/>
      <ns0:c r="J2" s="6"/>
      <ns0:c r="K2" s="6"/>
      <ns0:c r="L2" s="6"/>
    </ns0:row>
    <ns0:row r="3" ht="38" customHeight="1">
      <ns0:c r="A3" s="3"/>
      <ns0:c r="B3" s="3"/>
      <ns0:c r="C3" s="3"/>
      <ns0:c r="D3" s="3"/>
      <ns0:c r="E3" s="3"/>
      <ns0:c r="F3" s="3"/>
      <ns0:c r="G3" s="3"/>
      <ns0:c r="H3" s="3"/>
      <ns0:c r="I3" s="3"/>
      <ns0:c r="J3" s="3"/>
      <ns0:c r="K3" s="3"/>
      <ns0:c r="L3" s="3"/>
    </ns0:row>
    <ns0:row r="4" ht="20" customHeight="1">
      <ns0:c r="A4" s="3"/>
      <ns0:c r="B4" s="3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</ns0:row>
    <ns0:row r="5" ht="20" customHeight="1">
      <ns0:c r="A5" s="3"/>
      <ns0:c r="B5" s="3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</ns0:row>
    <ns0:row r="6" ht="20" customHeight="1">
      <ns0:c r="A6" s="3"/>
      <ns0:c r="B6" s="3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</ns0:row>
    <ns0:row r="7" ht="20" customHeight="1">
      <ns0:c r="A7" s="3"/>
      <ns0:c r="B7" s="3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</ns0:row>
    <ns0:row r="8" ht="20" customHeight="1">
      <ns0:c r="A8" s="3"/>
      <ns0:c r="B8" s="3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</ns0:row>
    <ns0:row r="9" ht="20" customHeight="1">
      <ns0:c r="A9" s="3"/>
      <ns0:c r="B9" s="3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</ns0:row>
    <ns0:row r="10" ht="20" customHeight="1">
      <ns0:c r="A10" s="3"/>
      <ns0:c r="B10" s="3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</ns0:row>
    <ns0:row r="11" ht="20" customHeight="1">
      <ns0:c r="A11" s="3"/>
      <ns0:c r="B11" s="3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</ns0:row>
    <ns0:row r="12" ht="20" customHeight="1">
      <ns0:c r="A12" s="3"/>
      <ns0:c r="B12" s="3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</ns0:row>
    <ns0:row r="13" ht="20" customHeight="1">
      <ns0:c r="A13" s="3"/>
      <ns0:c r="B13" s="3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</ns0:row>
    <ns0:row r="14" ht="20" customHeight="1">
      <ns0:c r="A14" s="3"/>
      <ns0:c r="B14" s="3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</ns0:row>
    <ns0:row r="15" ht="20" customHeight="1">
      <ns0:c r="A15" s="3"/>
      <ns0:c r="B15" s="3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</ns0:row>
    <ns0:row r="16" ht="20" customHeight="1">
      <ns0:c r="A16" s="3"/>
      <ns0:c r="B16" s="3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</ns0:row>
    <ns0:row r="17" ht="20" customHeight="1">
      <ns0:c r="A17" s="3"/>
      <ns0:c r="B17" s="3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</ns0:row>
    <ns0:row r="18" ht="20" customHeight="1">
      <ns0:c r="A18" s="3"/>
      <ns0:c r="B18" s="3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</ns0:row>
    <ns0:row r="19" ht="20" customHeight="1">
      <ns0:c r="A19" s="3"/>
      <ns0:c r="B19" s="3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</ns0:row>
    <ns0:row r="20" ht="20" customHeight="1">
      <ns0:c r="A20" s="3"/>
      <ns0:c r="B20" s="3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</ns0:row>
    <ns0:row r="21" ht="20" customHeight="1">
      <ns0:c r="A21" s="3"/>
      <ns0:c r="B21" s="3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</ns0:row>
    <ns0:row r="22" ht="20" customHeight="1">
      <ns0:c r="A22" s="3"/>
      <ns0:c r="B22" s="3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</ns0:row>
    <ns0:row r="23" ht="20" customHeight="1">
      <ns0:c r="A23" s="3"/>
      <ns0:c r="B23" s="3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</ns0:row>
    <ns0:row r="24" ht="20" customHeight="1">
      <ns0:c r="A24" s="3"/>
      <ns0:c r="B24" s="3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</ns0:row>
    <ns0:row r="25" ht="20" customHeight="1">
      <ns0:c r="A25" s="3"/>
      <ns0:c r="B25" s="3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</ns0:row>
    <ns0:row r="26" ht="20" customHeight="1">
      <ns0:c r="A26" s="3"/>
      <ns0:c r="B26" s="3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</ns0:row>
    <ns0:row r="27" ht="20" customHeight="1">
      <ns0:c r="A27" s="3"/>
      <ns0:c r="B27" s="3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</ns0:row>
    <ns0:row r="28" ht="20" customHeight="1">
      <ns0:c r="A28" s="3"/>
      <ns0:c r="B28" s="3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</ns0:row>
    <ns0:row r="29" ht="20" customHeight="1">
      <ns0:c r="A29" s="3"/>
      <ns0:c r="B29" s="3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</ns0:row>
    <ns0:row r="30" ht="20" customHeight="1">
      <ns0:c r="A30" s="3"/>
      <ns0:c r="B30" s="3"/>
      <ns0:c r="C30" s="3"/>
      <ns0:c r="D30" s="3"/>
      <ns0:c r="E30" s="3"/>
      <ns0:c r="F30" s="3"/>
      <ns0:c r="G30" s="3"/>
      <ns0:c r="H30" s="3"/>
      <ns0:c r="I30" s="3"/>
      <ns0:c r="J30" s="3"/>
      <ns0:c r="K30" s="3"/>
      <ns0:c r="L30" s="3"/>
    </ns0:row>
    <ns0:row r="31" ht="20" customHeight="1">
      <ns0:c r="A31" s="3"/>
      <ns0:c r="B31" s="3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</ns0:row>
    <ns0:row r="32" ht="20" customHeight="1">
      <ns0:c r="A32" s="3"/>
      <ns0:c r="B32" s="3"/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</ns0:row>
    <ns0:row r="33" ht="20" customHeight="1">
      <ns0:c r="A33" s="3"/>
      <ns0:c r="B33" s="3"/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</ns0:row>
    <ns0:row r="34" ht="20" customHeight="1">
      <ns0:c r="A34" s="3"/>
      <ns0:c r="B34" s="3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</ns0:row>
    <ns0:row r="35" ht="20" customHeight="1">
      <ns0:c r="A35" s="3"/>
      <ns0:c r="B35" s="3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</ns0:row>
    <ns0:row r="36" ht="20" customHeight="1">
      <ns0:c r="A36" s="3"/>
      <ns0:c r="B36" s="3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</ns0:row>
    <ns0:row r="37" ht="20" customHeight="1">
      <ns0:c r="A37" s="3"/>
      <ns0:c r="B37" s="3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</ns0:row>
    <ns0:row r="38" ht="20" customHeight="1">
      <ns0:c r="A38" s="3"/>
      <ns0:c r="B38" s="3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</ns0:row>
    <ns0:row r="39" ht="20" customHeight="1">
      <ns0:c r="A39" s="3"/>
      <ns0:c r="B39" s="3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</ns0:row>
    <ns0:row r="40" ht="20" customHeight="1">
      <ns0:c r="A40" s="3"/>
      <ns0:c r="B40" s="3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</ns0:row>
    <ns0:row r="41" ht="20" customHeight="1">
      <ns0:c r="A41" s="3"/>
      <ns0:c r="B41" s="3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</ns0:row>
    <ns0:row r="42" ht="38" customHeight="1">
      <ns0:c r="A42" s="3"/>
      <ns0:c r="B42" s="3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</ns0:row>
    <ns0:row r="43" ht="38" customHeight="1">
      <ns0:c r="A43" s="3"/>
      <ns0:c r="B43" s="3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</ns0:row>
  </ns0:sheetData>
  <ns0:mergeCells>
    <ns0:mergeCell ref="A1:L1"/>
    <ns0:mergeCell ref="A2:L2"/>
  </ns0:mergeCells>
  <ns0:pageMargins left="0.7" right="0.7" top="0.75" bottom="0.75" header="0.3" footer="0.3"/>
  <ns0:pageSetup paperSize="8" orientation="landscape" fitToWidth="1" fitToHeight="1"/>
  <ns0:drawing ns1:id="R65a2299242dd46bc"/>
</ns0:worksheet>
</file>

<file path=xl/worksheets/sheet7.xml><?xml version="1.0" encoding="utf-8"?>
<ns0:worksheet xmlns:ns0="http://schemas.openxmlformats.org/spreadsheetml/2006/main" xmlns:ns1="http://schemas.openxmlformats.org/officeDocument/2006/relationships">
  <ns0:sheetPr>
    <ns0:pageSetUpPr fitToPage="1"/>
  </ns0:sheetPr>
  <ns0:sheetViews>
    <ns0:sheetView showGridLines="0" workbookViewId="0">
      <ns0:pane ySplit="4" topLeftCell="A5" activePane="bottomLeft" state="frozen"/>
    </ns0:sheetView>
  </ns0:sheetViews>
  <ns0:sheetFormatPr defaultRowHeight="15"/>
  <ns0:cols>
    <ns0:col min="1" max="1" width="13" hidden="0" customWidth="1"/>
    <ns0:col min="2" max="2" width="13" hidden="0" customWidth="1"/>
    <ns0:col min="3" max="3" width="13" hidden="0" customWidth="1"/>
    <ns0:col min="4" max="4" width="13" hidden="0" customWidth="1"/>
    <ns0:col min="5" max="5" width="13" hidden="0" customWidth="1"/>
    <ns0:col min="6" max="6" width="13" hidden="0" customWidth="1"/>
    <ns0:col min="7" max="7" width="13" hidden="0" customWidth="1"/>
    <ns0:col min="8" max="8" width="13" hidden="0" customWidth="1"/>
    <ns0:col min="9" max="9" width="13" hidden="0" customWidth="1"/>
    <ns0:col min="10" max="10" width="13" hidden="0" customWidth="1"/>
    <ns0:col min="11" max="11" width="13" hidden="0" customWidth="1"/>
    <ns0:col min="12" max="12" width="13" hidden="0" customWidth="1"/>
  </ns0:cols>
  <ns0:sheetData>
    <ns0:row r="1" ht="38" customHeight="1">
      <ns0:c r="A1" s="5" t="str">
        <ns0:v>その他詳細</ns0:v>
      </ns0:c>
      <ns0:c r="B1" s="5"/>
      <ns0:c r="C1" s="5"/>
      <ns0:c r="D1" s="5"/>
      <ns0:c r="E1" s="5"/>
      <ns0:c r="F1" s="5"/>
      <ns0:c r="G1" s="5"/>
      <ns0:c r="H1" s="5"/>
      <ns0:c r="I1" s="5"/>
      <ns0:c r="J1" s="5"/>
      <ns0:c r="K1" s="5"/>
      <ns0:c r="L1" s="5"/>
    </ns0:row>
    <ns0:row r="2" ht="38" customHeight="1">
      <ns0:c r="A2" s="6" t="str">
        <ns0:v>Rev B-1　2026-10-24　製作承認：保留／原図指定と追加案を区別</ns0:v>
      </ns0:c>
      <ns0:c r="B2" s="6"/>
      <ns0:c r="C2" s="6"/>
      <ns0:c r="D2" s="6"/>
      <ns0:c r="E2" s="6"/>
      <ns0:c r="F2" s="6"/>
      <ns0:c r="G2" s="6"/>
      <ns0:c r="H2" s="6"/>
      <ns0:c r="I2" s="6"/>
      <ns0:c r="J2" s="6"/>
      <ns0:c r="K2" s="6"/>
      <ns0:c r="L2" s="6"/>
    </ns0:row>
    <ns0:row r="3" ht="38" customHeight="1">
      <ns0:c r="A3" s="3"/>
      <ns0:c r="B3" s="3"/>
      <ns0:c r="C3" s="3"/>
      <ns0:c r="D3" s="3"/>
      <ns0:c r="E3" s="3"/>
      <ns0:c r="F3" s="3"/>
      <ns0:c r="G3" s="3"/>
      <ns0:c r="H3" s="3"/>
      <ns0:c r="I3" s="3"/>
      <ns0:c r="J3" s="3"/>
      <ns0:c r="K3" s="3"/>
      <ns0:c r="L3" s="3"/>
    </ns0:row>
    <ns0:row r="4" ht="20" customHeight="1">
      <ns0:c r="A4" s="3"/>
      <ns0:c r="B4" s="3"/>
      <ns0:c r="C4" s="3"/>
      <ns0:c r="D4" s="3"/>
      <ns0:c r="E4" s="3"/>
      <ns0:c r="F4" s="3"/>
      <ns0:c r="G4" s="3"/>
      <ns0:c r="H4" s="3"/>
      <ns0:c r="I4" s="3"/>
      <ns0:c r="J4" s="3"/>
      <ns0:c r="K4" s="3"/>
      <ns0:c r="L4" s="3"/>
    </ns0:row>
    <ns0:row r="5" ht="20" customHeight="1">
      <ns0:c r="A5" s="3"/>
      <ns0:c r="B5" s="3"/>
      <ns0:c r="C5" s="3"/>
      <ns0:c r="D5" s="3"/>
      <ns0:c r="E5" s="3"/>
      <ns0:c r="F5" s="3"/>
      <ns0:c r="G5" s="3"/>
      <ns0:c r="H5" s="3"/>
      <ns0:c r="I5" s="3"/>
      <ns0:c r="J5" s="3"/>
      <ns0:c r="K5" s="3"/>
      <ns0:c r="L5" s="3"/>
    </ns0:row>
    <ns0:row r="6" ht="20" customHeight="1">
      <ns0:c r="A6" s="3"/>
      <ns0:c r="B6" s="3"/>
      <ns0:c r="C6" s="3"/>
      <ns0:c r="D6" s="3"/>
      <ns0:c r="E6" s="3"/>
      <ns0:c r="F6" s="3"/>
      <ns0:c r="G6" s="3"/>
      <ns0:c r="H6" s="3"/>
      <ns0:c r="I6" s="3"/>
      <ns0:c r="J6" s="3"/>
      <ns0:c r="K6" s="3"/>
      <ns0:c r="L6" s="3"/>
    </ns0:row>
    <ns0:row r="7" ht="20" customHeight="1">
      <ns0:c r="A7" s="3"/>
      <ns0:c r="B7" s="3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</ns0:row>
    <ns0:row r="8" ht="20" customHeight="1">
      <ns0:c r="A8" s="3"/>
      <ns0:c r="B8" s="3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</ns0:row>
    <ns0:row r="9" ht="20" customHeight="1">
      <ns0:c r="A9" s="3"/>
      <ns0:c r="B9" s="3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</ns0:row>
    <ns0:row r="10" ht="20" customHeight="1">
      <ns0:c r="A10" s="3"/>
      <ns0:c r="B10" s="3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</ns0:row>
    <ns0:row r="11" ht="20" customHeight="1">
      <ns0:c r="A11" s="3"/>
      <ns0:c r="B11" s="3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</ns0:row>
    <ns0:row r="12" ht="20" customHeight="1">
      <ns0:c r="A12" s="3"/>
      <ns0:c r="B12" s="3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</ns0:row>
    <ns0:row r="13" ht="20" customHeight="1">
      <ns0:c r="A13" s="3"/>
      <ns0:c r="B13" s="3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</ns0:row>
    <ns0:row r="14" ht="20" customHeight="1">
      <ns0:c r="A14" s="3"/>
      <ns0:c r="B14" s="3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</ns0:row>
    <ns0:row r="15" ht="20" customHeight="1">
      <ns0:c r="A15" s="3"/>
      <ns0:c r="B15" s="3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</ns0:row>
    <ns0:row r="16" ht="20" customHeight="1">
      <ns0:c r="A16" s="3"/>
      <ns0:c r="B16" s="3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</ns0:row>
    <ns0:row r="17" ht="20" customHeight="1">
      <ns0:c r="A17" s="3"/>
      <ns0:c r="B17" s="3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</ns0:row>
    <ns0:row r="18" ht="20" customHeight="1">
      <ns0:c r="A18" s="3"/>
      <ns0:c r="B18" s="3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</ns0:row>
    <ns0:row r="19" ht="20" customHeight="1">
      <ns0:c r="A19" s="3"/>
      <ns0:c r="B19" s="3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</ns0:row>
    <ns0:row r="20" ht="20" customHeight="1">
      <ns0:c r="A20" s="3"/>
      <ns0:c r="B20" s="3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</ns0:row>
    <ns0:row r="21" ht="20" customHeight="1">
      <ns0:c r="A21" s="3"/>
      <ns0:c r="B21" s="3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</ns0:row>
    <ns0:row r="22" ht="20" customHeight="1">
      <ns0:c r="A22" s="3"/>
      <ns0:c r="B22" s="3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</ns0:row>
    <ns0:row r="23" ht="20" customHeight="1">
      <ns0:c r="A23" s="3"/>
      <ns0:c r="B23" s="3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</ns0:row>
    <ns0:row r="24" ht="20" customHeight="1">
      <ns0:c r="A24" s="3"/>
      <ns0:c r="B24" s="3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</ns0:row>
    <ns0:row r="25" ht="20" customHeight="1">
      <ns0:c r="A25" s="3"/>
      <ns0:c r="B25" s="3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</ns0:row>
    <ns0:row r="26" ht="20" customHeight="1">
      <ns0:c r="A26" s="3"/>
      <ns0:c r="B26" s="3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</ns0:row>
    <ns0:row r="27" ht="20" customHeight="1">
      <ns0:c r="A27" s="3"/>
      <ns0:c r="B27" s="3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</ns0:row>
    <ns0:row r="28" ht="20" customHeight="1">
      <ns0:c r="A28" s="3"/>
      <ns0:c r="B28" s="3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</ns0:row>
    <ns0:row r="29" ht="20" customHeight="1">
      <ns0:c r="A29" s="3"/>
      <ns0:c r="B29" s="3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</ns0:row>
    <ns0:row r="30" ht="20" customHeight="1">
      <ns0:c r="A30" s="3"/>
      <ns0:c r="B30" s="3"/>
      <ns0:c r="C30" s="3"/>
      <ns0:c r="D30" s="3"/>
      <ns0:c r="E30" s="3"/>
      <ns0:c r="F30" s="3"/>
      <ns0:c r="G30" s="3"/>
      <ns0:c r="H30" s="3"/>
      <ns0:c r="I30" s="3"/>
      <ns0:c r="J30" s="3"/>
      <ns0:c r="K30" s="3"/>
      <ns0:c r="L30" s="3"/>
    </ns0:row>
    <ns0:row r="31" ht="20" customHeight="1">
      <ns0:c r="A31" s="3"/>
      <ns0:c r="B31" s="3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</ns0:row>
    <ns0:row r="32" ht="20" customHeight="1">
      <ns0:c r="A32" s="3"/>
      <ns0:c r="B32" s="3"/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</ns0:row>
    <ns0:row r="33" ht="20" customHeight="1">
      <ns0:c r="A33" s="3"/>
      <ns0:c r="B33" s="3"/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</ns0:row>
    <ns0:row r="34" ht="20" customHeight="1">
      <ns0:c r="A34" s="3"/>
      <ns0:c r="B34" s="3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</ns0:row>
    <ns0:row r="35" ht="20" customHeight="1">
      <ns0:c r="A35" s="3"/>
      <ns0:c r="B35" s="3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</ns0:row>
    <ns0:row r="36" ht="20" customHeight="1">
      <ns0:c r="A36" s="3"/>
      <ns0:c r="B36" s="3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</ns0:row>
    <ns0:row r="37" ht="20" customHeight="1">
      <ns0:c r="A37" s="3"/>
      <ns0:c r="B37" s="3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</ns0:row>
    <ns0:row r="38" ht="20" customHeight="1">
      <ns0:c r="A38" s="3"/>
      <ns0:c r="B38" s="3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</ns0:row>
    <ns0:row r="39" ht="20" customHeight="1">
      <ns0:c r="A39" s="3"/>
      <ns0:c r="B39" s="3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</ns0:row>
    <ns0:row r="40" ht="20" customHeight="1">
      <ns0:c r="A40" s="3"/>
      <ns0:c r="B40" s="3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</ns0:row>
    <ns0:row r="41" ht="20" customHeight="1">
      <ns0:c r="A41" s="3"/>
      <ns0:c r="B41" s="3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</ns0:row>
    <ns0:row r="42" ht="38" customHeight="1">
      <ns0:c r="A42" s="3"/>
      <ns0:c r="B42" s="3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</ns0:row>
    <ns0:row r="43" ht="38" customHeight="1">
      <ns0:c r="A43" s="3"/>
      <ns0:c r="B43" s="3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</ns0:row>
  </ns0:sheetData>
  <ns0:mergeCells>
    <ns0:mergeCell ref="A1:L1"/>
    <ns0:mergeCell ref="A2:L2"/>
  </ns0:mergeCells>
  <ns0:pageMargins left="0.7" right="0.7" top="0.75" bottom="0.75" header="0.3" footer="0.3"/>
  <ns0:pageSetup paperSize="8" orientation="landscape" fitToWidth="1" fitToHeight="1"/>
  <ns0:drawing ns1:id="R9065efa4d1f949ea"/>
</ns0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5" hidden="0" customWidth="1"/>
    <x:col min="3" max="3" width="10" hidden="0" customWidth="1"/>
    <x:col min="4" max="4" width="10" hidden="0" customWidth="1"/>
    <x:col min="5" max="5" width="38" hidden="0" customWidth="1"/>
    <x:col min="6" max="6" width="9" hidden="0" customWidth="1"/>
    <x:col min="7" max="7" width="46" hidden="0" customWidth="1"/>
    <x:col min="8" max="8" width="22" hidden="0" customWidth="1"/>
  </x:cols>
  <x:sheetData>
    <x:row r="1" ht="38" customHeight="1">
      <x:c r="A1" s="5" t="str">
        <x:v>穴位置・基準座標　追加案は加工保留</x:v>
      </x:c>
      <x:c r="B1" s="5"/>
      <x:c r="C1" s="5"/>
      <x:c r="D1" s="5"/>
      <x:c r="E1" s="5"/>
      <x:c r="F1" s="5"/>
      <x:c r="G1" s="5"/>
      <x:c r="H1" s="5"/>
    </x:row>
    <x:row r="2" ht="38" customHeight="1">
      <x:c r="A2" s="6" t="str">
        <x:v>Rev B-1　2026-10-24　製作承認：保留／原図指定と追加案を区別</x:v>
      </x:c>
      <x:c r="B2" s="6"/>
      <x:c r="C2" s="6"/>
      <x:c r="D2" s="6"/>
      <x:c r="E2" s="6"/>
      <x:c r="F2" s="6"/>
      <x:c r="G2" s="6"/>
      <x:c r="H2" s="6"/>
    </x:row>
    <x:row r="3" ht="38" customHeight="1">
      <x:c r="A3" s="3"/>
      <x:c r="B3" s="3"/>
      <x:c r="C3" s="3"/>
      <x:c r="D3" s="3"/>
      <x:c r="E3" s="3"/>
      <x:c r="F3" s="3"/>
      <x:c r="G3" s="3"/>
      <x:c r="H3" s="3"/>
    </x:row>
    <x:row r="4" ht="38" customHeight="1">
      <x:c r="A4" s="9" t="str">
        <x:v>ID</x:v>
      </x:c>
      <x:c r="B4" s="9" t="str">
        <x:v>部品・基準</x:v>
      </x:c>
      <x:c r="C4" s="9" t="str">
        <x:v>x mm</x:v>
      </x:c>
      <x:c r="D4" s="9" t="str">
        <x:v>y mm</x:v>
      </x:c>
      <x:c r="E4" s="9" t="str">
        <x:v>穴加工案</x:v>
      </x:c>
      <x:c r="F4" s="9" t="str">
        <x:v>数量</x:v>
      </x:c>
      <x:c r="G4" s="9" t="str">
        <x:v>用途・指定座標</x:v>
      </x:c>
      <x:c r="H4" s="9" t="str">
        <x:v>状態</x:v>
      </x:c>
    </x:row>
    <x:row r="5" ht="65" customHeight="1">
      <x:c r="A5" s="10" t="str">
        <x:v>H-G1</x:v>
      </x:c>
      <x:c r="B5" s="10" t="str">
        <x:v>ゲート左下：x=z+20,y=v+5</x:v>
      </x:c>
      <x:c r="C5" s="10" t="n">
        <x:v>5</x:v>
      </x:c>
      <x:c r="D5" s="10" t="n">
        <x:v>100</x:v>
      </x:c>
      <x:c r="E5" s="10" t="str">
        <x:v>φ3.4／通路面皿φ6合わせ</x:v>
      </x:c>
      <x:c r="F5" s="10" t="n">
        <x:v>1</x:v>
      </x:c>
      <x:c r="G5" s="10" t="str">
        <x:v>ばね掛け取付案</x:v>
      </x:c>
      <x:c r="H5" s="10" t="str">
        <x:v>追加案・保留</x:v>
      </x:c>
    </x:row>
    <x:row r="6" ht="65" customHeight="1">
      <x:c r="A6" s="10" t="str">
        <x:v>H-G2</x:v>
      </x:c>
      <x:c r="B6" s="10" t="str">
        <x:v>ゲート左下：x=z+20,y=v+5</x:v>
      </x:c>
      <x:c r="C6" s="10" t="n">
        <x:v>15</x:v>
      </x:c>
      <x:c r="D6" s="10" t="n">
        <x:v>100</x:v>
      </x:c>
      <x:c r="E6" s="10" t="str">
        <x:v>φ3.4／通路面皿φ6合わせ</x:v>
      </x:c>
      <x:c r="F6" s="10" t="n">
        <x:v>1</x:v>
      </x:c>
      <x:c r="G6" s="10" t="str">
        <x:v>ばね掛け取付案</x:v>
      </x:c>
      <x:c r="H6" s="10" t="str">
        <x:v>追加案・保留</x:v>
      </x:c>
    </x:row>
    <x:row r="7" ht="65" customHeight="1">
      <x:c r="A7" s="10" t="str">
        <x:v>H-G3</x:v>
      </x:c>
      <x:c r="B7" s="10" t="str">
        <x:v>ゲート左下：x=z+20,y=v+5</x:v>
      </x:c>
      <x:c r="C7" s="10" t="n">
        <x:v>35</x:v>
      </x:c>
      <x:c r="D7" s="10" t="n">
        <x:v>50</x:v>
      </x:c>
      <x:c r="E7" s="10" t="str">
        <x:v>φ3.4／通路面皿φ6合わせ</x:v>
      </x:c>
      <x:c r="F7" s="10" t="n">
        <x:v>1</x:v>
      </x:c>
      <x:c r="G7" s="10" t="str">
        <x:v>フォロワー支持案</x:v>
      </x:c>
      <x:c r="H7" s="10" t="str">
        <x:v>追加案・保留</x:v>
      </x:c>
    </x:row>
    <x:row r="8" ht="65" customHeight="1">
      <x:c r="A8" s="10" t="str">
        <x:v>H-G4</x:v>
      </x:c>
      <x:c r="B8" s="10" t="str">
        <x:v>ゲート左下：x=z+20,y=v+5</x:v>
      </x:c>
      <x:c r="C8" s="10" t="n">
        <x:v>35</x:v>
      </x:c>
      <x:c r="D8" s="10" t="n">
        <x:v>60</x:v>
      </x:c>
      <x:c r="E8" s="10" t="str">
        <x:v>φ3.4／通路面皿φ6合わせ</x:v>
      </x:c>
      <x:c r="F8" s="10" t="n">
        <x:v>1</x:v>
      </x:c>
      <x:c r="G8" s="10" t="str">
        <x:v>フォロワー支持案</x:v>
      </x:c>
      <x:c r="H8" s="10" t="str">
        <x:v>追加案・保留</x:v>
      </x:c>
    </x:row>
    <x:row r="9" ht="65" customHeight="1">
      <x:c r="A9" s="10" t="str">
        <x:v>H-GL1</x:v>
      </x:c>
      <x:c r="B9" s="10" t="str">
        <x:v>各ガイド脚A：切断端x=0</x:v>
      </x:c>
      <x:c r="C9" s="10" t="n">
        <x:v>10</x:v>
      </x:c>
      <x:c r="D9" s="10" t="n">
        <x:v>10</x:v>
      </x:c>
      <x:c r="E9" s="10" t="str">
        <x:v>φ3.4</x:v>
      </x:c>
      <x:c r="F9" s="10" t="n">
        <x:v>4</x:v>
      </x:c>
      <x:c r="G9" s="10" t="str">
        <x:v>脚方向は組付けで確定</x:v>
      </x:c>
      <x:c r="H9" s="10" t="str">
        <x:v>追加案・保留</x:v>
      </x:c>
    </x:row>
    <x:row r="10" ht="65" customHeight="1">
      <x:c r="A10" s="10" t="str">
        <x:v>H-GL2</x:v>
      </x:c>
      <x:c r="B10" s="10" t="str">
        <x:v>同上</x:v>
      </x:c>
      <x:c r="C10" s="10" t="n">
        <x:v>70</x:v>
      </x:c>
      <x:c r="D10" s="10" t="n">
        <x:v>10</x:v>
      </x:c>
      <x:c r="E10" s="10" t="str">
        <x:v>φ3.4</x:v>
      </x:c>
      <x:c r="F10" s="10" t="n">
        <x:v>4</x:v>
      </x:c>
      <x:c r="G10" s="10" t="str">
        <x:v>脚幅20の中央案</x:v>
      </x:c>
      <x:c r="H10" s="10" t="str">
        <x:v>追加案・保留</x:v>
      </x:c>
    </x:row>
    <x:row r="11" ht="65" customHeight="1">
      <x:c r="A11" s="10" t="str">
        <x:v>A</x:v>
      </x:c>
      <x:c r="B11" s="10" t="str">
        <x:v>全体u,v,z</x:v>
      </x:c>
      <x:c r="C11" s="10" t="n">
        <x:v>25</x:v>
      </x:c>
      <x:c r="D11" s="10" t="n">
        <x:v>110</x:v>
      </x:c>
      <x:c r="E11" s="10" t="str">
        <x:v>z=-70／フック穴径未定</x:v>
      </x:c>
      <x:c r="F11" s="10" t="n">
        <x:v>1</x:v>
      </x:c>
      <x:c r="G11" s="10" t="str">
        <x:v>Rev B掛点のみ指定</x:v>
      </x:c>
      <x:c r="H11" s="10" t="str">
        <x:v>穴未定</x:v>
      </x:c>
    </x:row>
    <x:row r="12" ht="65" customHeight="1">
      <x:c r="A12" s="10" t="str">
        <x:v>B</x:v>
      </x:c>
      <x:c r="B12" s="10" t="str">
        <x:v>全体u,v,z</x:v>
      </x:c>
      <x:c r="C12" s="10" t="n">
        <x:v>25</x:v>
      </x:c>
      <x:c r="D12" s="10" t="n">
        <x:v>110</x:v>
      </x:c>
      <x:c r="E12" s="10" t="str">
        <x:v>z=-15+s／穴径未定</x:v>
      </x:c>
      <x:c r="F12" s="10" t="n">
        <x:v>1</x:v>
      </x:c>
      <x:c r="G12" s="10" t="str">
        <x:v>閉-15→全開21</x:v>
      </x:c>
      <x:c r="H12" s="10" t="str">
        <x:v>穴未定</x:v>
      </x:c>
    </x:row>
    <x:row r="13" ht="65" customHeight="1">
      <x:c r="A13" s="10" t="str">
        <x:v>H1/H2</x:v>
      </x:c>
      <x:c r="B13" s="10" t="str">
        <x:v>長20／L20×20t2</x:v>
      </x:c>
      <x:c r="C13" s="10"/>
      <x:c r="D13" s="10"/>
      <x:c r="E13" s="10" t="str">
        <x:v>掛け穴・取付面未定</x:v>
      </x:c>
      <x:c r="F13" s="10" t="n">
        <x:v>2</x:v>
      </x:c>
      <x:c r="G13" s="10" t="str">
        <x:v>5mm逃げ／フック回転を照合</x:v>
      </x:c>
      <x:c r="H13" s="10" t="str">
        <x:v>加工保留</x:v>
      </x:c>
    </x:row>
    <x:row r="14" ht="65" customHeight="1">
      <x:c r="A14" s="10" t="str">
        <x:v>C1</x:v>
      </x:c>
      <x:c r="B14" s="10" t="str">
        <x:v>長50／角54.162°</x:v>
      </x:c>
      <x:c r="C14" s="10"/>
      <x:c r="D14" s="10"/>
      <x:c r="E14" s="10" t="str">
        <x:v>取付穴・高さ未定</x:v>
      </x:c>
      <x:c r="F14" s="10" t="n">
        <x:v>1</x:v>
      </x:c>
      <x:c r="G14" s="10" t="str">
        <x:v>有効線44.407に穴を入れない</x:v>
      </x:c>
      <x:c r="H14" s="10" t="str">
        <x:v>加工保留</x:v>
      </x:c>
    </x:row>
    <x:row r="15" ht="65" customHeight="1">
      <x:c r="A15" s="10" t="str">
        <x:v>S1,B1,B2,F1</x:v>
      </x:c>
      <x:c r="B15" s="10" t="str">
        <x:v>各取付面</x:v>
      </x:c>
      <x:c r="C15" s="10"/>
      <x:c r="D15" s="10"/>
      <x:c r="E15" s="10" t="str">
        <x:v>支持穴未定</x:v>
      </x:c>
      <x:c r="F15" s="10" t="n">
        <x:v>4</x:v>
      </x:c>
      <x:c r="G15" s="10" t="str">
        <x:v>力経路と取付現物の確認が必要</x:v>
      </x:c>
      <x:c r="H15" s="10" t="str">
        <x:v>加工保留</x:v>
      </x:c>
    </x:row>
    <x:row r="16" ht="65" customHeight="1">
      <x:c r="A16" s="10" t="str">
        <x:v>STOP</x:v>
      </x:c>
      <x:c r="B16" s="10" t="str">
        <x:v>開36±0.2／閉現合</x:v>
      </x:c>
      <x:c r="C16" s="10"/>
      <x:c r="D16" s="10"/>
      <x:c r="E16" s="10" t="str">
        <x:v>M3調整ねじ＋受け面案</x:v>
      </x:c>
      <x:c r="F16" s="10" t="n">
        <x:v>2</x:v>
      </x:c>
      <x:c r="G16" s="10" t="str">
        <x:v>t2単独タップ耐力を仮定しない</x:v>
      </x:c>
      <x:c r="H16" s="10" t="str">
        <x:v>加工保留</x:v>
      </x:c>
    </x:row>
    <x:row r="17" ht="65" customHeight="1">
      <x:c r="A17" s="10" t="str">
        <x:v>BOX</x:v>
      </x:c>
      <x:c r="B17" s="10" t="str">
        <x:v>台車現物基準</x:v>
      </x:c>
      <x:c r="C17" s="10"/>
      <x:c r="D17" s="10"/>
      <x:c r="E17" s="10" t="str">
        <x:v>固定穴未定</x:v>
      </x:c>
      <x:c r="F17" s="10"/>
      <x:c r="G17" s="10" t="str">
        <x:v>Φ28適合・固定板・BS-01確認</x:v>
      </x:c>
      <x:c r="H17" s="10" t="str">
        <x:v>加工保留</x:v>
      </x:c>
    </x:row>
    <x:row r="18" ht="38" customHeight="1">
      <x:c r="A18" s="3"/>
      <x:c r="B18" s="3"/>
      <x:c r="C18" s="3"/>
      <x:c r="D18" s="3"/>
      <x:c r="E18" s="3"/>
      <x:c r="F18" s="3"/>
      <x:c r="G18" s="3"/>
      <x:c r="H18" s="3"/>
    </x:row>
    <x:row r="19" ht="38" customHeight="1">
      <x:c r="A19" s="3"/>
      <x:c r="B19" s="3"/>
      <x:c r="C19" s="3"/>
      <x:c r="D19" s="3"/>
      <x:c r="E19" s="3"/>
      <x:c r="F19" s="3"/>
      <x:c r="G19" s="3"/>
      <x:c r="H19" s="3"/>
    </x:row>
    <x:row r="20" ht="38" customHeight="1">
      <x:c r="A20" s="3"/>
      <x:c r="B20" s="3"/>
      <x:c r="C20" s="3"/>
      <x:c r="D20" s="3"/>
      <x:c r="E20" s="3"/>
      <x:c r="F20" s="3"/>
      <x:c r="G20" s="3"/>
      <x:c r="H20" s="3"/>
    </x:row>
    <x:row r="21" ht="38" customHeight="1">
      <x:c r="A21" s="3"/>
      <x:c r="B21" s="3"/>
      <x:c r="C21" s="3"/>
      <x:c r="D21" s="3"/>
      <x:c r="E21" s="3"/>
      <x:c r="F21" s="3"/>
      <x:c r="G21" s="3"/>
      <x:c r="H21" s="3"/>
    </x:row>
    <x:row r="22" ht="38" customHeight="1">
      <x:c r="A22" s="3"/>
      <x:c r="B22" s="3"/>
      <x:c r="C22" s="3"/>
      <x:c r="D22" s="3"/>
      <x:c r="E22" s="3"/>
      <x:c r="F22" s="3"/>
      <x:c r="G22" s="3"/>
      <x:c r="H22" s="3"/>
    </x:row>
    <x:row r="23" ht="38" customHeight="1">
      <x:c r="A23" s="3"/>
      <x:c r="B23" s="3"/>
      <x:c r="C23" s="3"/>
      <x:c r="D23" s="3"/>
      <x:c r="E23" s="3"/>
      <x:c r="F23" s="3"/>
      <x:c r="G23" s="3"/>
      <x:c r="H23" s="3"/>
    </x:row>
    <x:row r="24" ht="38" customHeight="1">
      <x:c r="A24" s="3"/>
      <x:c r="B24" s="3"/>
      <x:c r="C24" s="3"/>
      <x:c r="D24" s="3"/>
      <x:c r="E24" s="3"/>
      <x:c r="F24" s="3"/>
      <x:c r="G24" s="3"/>
      <x:c r="H24" s="3"/>
    </x:row>
    <x:row r="25" ht="38" customHeight="1">
      <x:c r="A25" s="3"/>
      <x:c r="B25" s="3"/>
      <x:c r="C25" s="3"/>
      <x:c r="D25" s="3"/>
      <x:c r="E25" s="3"/>
      <x:c r="F25" s="3"/>
      <x:c r="G25" s="3"/>
      <x:c r="H25" s="3"/>
    </x:row>
    <x:row r="26" ht="38" customHeight="1">
      <x:c r="A26" s="3"/>
      <x:c r="B26" s="3"/>
      <x:c r="C26" s="3"/>
      <x:c r="D26" s="3"/>
      <x:c r="E26" s="3"/>
      <x:c r="F26" s="3"/>
      <x:c r="G26" s="3"/>
      <x:c r="H26" s="3"/>
    </x:row>
    <x:row r="27" ht="38" customHeight="1">
      <x:c r="A27" s="3"/>
      <x:c r="B27" s="3"/>
      <x:c r="C27" s="3"/>
      <x:c r="D27" s="3"/>
      <x:c r="E27" s="3"/>
      <x:c r="F27" s="3"/>
      <x:c r="G27" s="3"/>
      <x:c r="H27" s="3"/>
    </x:row>
    <x:row r="28" ht="38" customHeight="1">
      <x:c r="A28" s="3"/>
      <x:c r="B28" s="3"/>
      <x:c r="C28" s="3"/>
      <x:c r="D28" s="3"/>
      <x:c r="E28" s="3"/>
      <x:c r="F28" s="3"/>
      <x:c r="G28" s="3"/>
      <x:c r="H28" s="3"/>
    </x:row>
    <x:row r="29" ht="38" customHeight="1">
      <x:c r="A29" s="3"/>
      <x:c r="B29" s="3"/>
      <x:c r="C29" s="3"/>
      <x:c r="D29" s="3"/>
      <x:c r="E29" s="3"/>
      <x:c r="F29" s="3"/>
      <x:c r="G29" s="3"/>
      <x:c r="H29" s="3"/>
    </x:row>
    <x:row r="30" ht="38" customHeight="1">
      <x:c r="A30" s="3"/>
      <x:c r="B30" s="3"/>
      <x:c r="C30" s="3"/>
      <x:c r="D30" s="3"/>
      <x:c r="E30" s="3"/>
      <x:c r="F30" s="3"/>
      <x:c r="G30" s="3"/>
      <x:c r="H30" s="3"/>
    </x:row>
    <x:row r="31" ht="38" customHeight="1">
      <x:c r="A31" s="3"/>
      <x:c r="B31" s="3"/>
      <x:c r="C31" s="3"/>
      <x:c r="D31" s="3"/>
      <x:c r="E31" s="3"/>
      <x:c r="F31" s="3"/>
      <x:c r="G31" s="3"/>
      <x:c r="H31" s="3"/>
    </x:row>
    <x:row r="32" ht="38" customHeight="1">
      <x:c r="A32" s="3"/>
      <x:c r="B32" s="3"/>
      <x:c r="C32" s="3"/>
      <x:c r="D32" s="3"/>
      <x:c r="E32" s="3"/>
      <x:c r="F32" s="3"/>
      <x:c r="G32" s="3"/>
      <x:c r="H32" s="3"/>
    </x:row>
    <x:row r="33" ht="38" customHeight="1">
      <x:c r="A33" s="3"/>
      <x:c r="B33" s="3"/>
      <x:c r="C33" s="3"/>
      <x:c r="D33" s="3"/>
      <x:c r="E33" s="3"/>
      <x:c r="F33" s="3"/>
      <x:c r="G33" s="3"/>
      <x:c r="H33" s="3"/>
    </x:row>
    <x:row r="34" ht="38" customHeight="1">
      <x:c r="A34" s="3"/>
      <x:c r="B34" s="3"/>
      <x:c r="C34" s="3"/>
      <x:c r="D34" s="3"/>
      <x:c r="E34" s="3"/>
      <x:c r="F34" s="3"/>
      <x:c r="G34" s="3"/>
      <x:c r="H34" s="3"/>
    </x:row>
    <x:row r="35" ht="38" customHeight="1">
      <x:c r="A35" s="3"/>
      <x:c r="B35" s="3"/>
      <x:c r="C35" s="3"/>
      <x:c r="D35" s="3"/>
      <x:c r="E35" s="3"/>
      <x:c r="F35" s="3"/>
      <x:c r="G35" s="3"/>
      <x:c r="H35" s="3"/>
    </x:row>
    <x:row r="36" ht="38" customHeight="1">
      <x:c r="A36" s="3"/>
      <x:c r="B36" s="3"/>
      <x:c r="C36" s="3"/>
      <x:c r="D36" s="3"/>
      <x:c r="E36" s="3"/>
      <x:c r="F36" s="3"/>
      <x:c r="G36" s="3"/>
      <x:c r="H36" s="3"/>
    </x:row>
    <x:row r="37" ht="38" customHeight="1">
      <x:c r="A37" s="3"/>
      <x:c r="B37" s="3"/>
      <x:c r="C37" s="3"/>
      <x:c r="D37" s="3"/>
      <x:c r="E37" s="3"/>
      <x:c r="F37" s="3"/>
      <x:c r="G37" s="3"/>
      <x:c r="H37" s="3"/>
    </x:row>
    <x:row r="38" ht="38" customHeight="1">
      <x:c r="A38" s="3"/>
      <x:c r="B38" s="3"/>
      <x:c r="C38" s="3"/>
      <x:c r="D38" s="3"/>
      <x:c r="E38" s="3"/>
      <x:c r="F38" s="3"/>
      <x:c r="G38" s="3"/>
      <x:c r="H38" s="3"/>
    </x:row>
    <x:row r="39" ht="38" customHeight="1">
      <x:c r="A39" s="3"/>
      <x:c r="B39" s="3"/>
      <x:c r="C39" s="3"/>
      <x:c r="D39" s="3"/>
      <x:c r="E39" s="3"/>
      <x:c r="F39" s="3"/>
      <x:c r="G39" s="3"/>
      <x:c r="H39" s="3"/>
    </x:row>
    <x:row r="40" ht="38" customHeight="1">
      <x:c r="A40" s="3"/>
      <x:c r="B40" s="3"/>
      <x:c r="C40" s="3"/>
      <x:c r="D40" s="3"/>
      <x:c r="E40" s="3"/>
      <x:c r="F40" s="3"/>
      <x:c r="G40" s="3"/>
      <x:c r="H40" s="3"/>
    </x:row>
    <x:row r="41" ht="38" customHeight="1">
      <x:c r="A41" s="3"/>
      <x:c r="B41" s="3"/>
      <x:c r="C41" s="3"/>
      <x:c r="D41" s="3"/>
      <x:c r="E41" s="3"/>
      <x:c r="F41" s="3"/>
      <x:c r="G41" s="3"/>
      <x:c r="H41" s="3"/>
    </x:row>
    <x:row r="42" ht="38" customHeight="1">
      <x:c r="A42" s="3"/>
      <x:c r="B42" s="3"/>
      <x:c r="C42" s="3"/>
      <x:c r="D42" s="3"/>
      <x:c r="E42" s="3"/>
      <x:c r="F42" s="3"/>
      <x:c r="G42" s="3"/>
      <x:c r="H42" s="3"/>
    </x:row>
    <x:row r="43" ht="38" customHeight="1">
      <x:c r="A43" s="3"/>
      <x:c r="B43" s="3"/>
      <x:c r="C43" s="3"/>
      <x:c r="D43" s="3"/>
      <x:c r="E43" s="3"/>
      <x:c r="F43" s="3"/>
      <x:c r="G43" s="3"/>
      <x:c r="H43" s="3"/>
    </x:row>
    <x:row r="44" ht="38" customHeight="1">
      <x:c r="A44" s="3"/>
      <x:c r="B44" s="3"/>
      <x:c r="C44" s="3"/>
      <x:c r="D44" s="3"/>
      <x:c r="E44" s="3"/>
      <x:c r="F44" s="3"/>
      <x:c r="G44" s="3"/>
      <x:c r="H44" s="3"/>
    </x:row>
    <x:row r="45" ht="38" customHeight="1">
      <x:c r="A45" s="3"/>
      <x:c r="B45" s="3"/>
      <x:c r="C45" s="3"/>
      <x:c r="D45" s="3"/>
      <x:c r="E45" s="3"/>
      <x:c r="F45" s="3"/>
      <x:c r="G45" s="3"/>
      <x:c r="H45" s="3"/>
    </x:row>
    <x:row r="46" ht="38" customHeight="1">
      <x:c r="A46" s="3"/>
      <x:c r="B46" s="3"/>
      <x:c r="C46" s="3"/>
      <x:c r="D46" s="3"/>
      <x:c r="E46" s="3"/>
      <x:c r="F46" s="3"/>
      <x:c r="G46" s="3"/>
      <x:c r="H46" s="3"/>
    </x:row>
    <x:row r="47" ht="38" customHeight="1">
      <x:c r="A47" s="3"/>
      <x:c r="B47" s="3"/>
      <x:c r="C47" s="3"/>
      <x:c r="D47" s="3"/>
      <x:c r="E47" s="3"/>
      <x:c r="F47" s="3"/>
      <x:c r="G47" s="3"/>
      <x:c r="H47" s="3"/>
    </x:row>
    <x:row r="48" ht="38" customHeight="1">
      <x:c r="A48" s="3"/>
      <x:c r="B48" s="3"/>
      <x:c r="C48" s="3"/>
      <x:c r="D48" s="3"/>
      <x:c r="E48" s="3"/>
      <x:c r="F48" s="3"/>
      <x:c r="G48" s="3"/>
      <x:c r="H48" s="3"/>
    </x:row>
    <x:row r="49" ht="38" customHeight="1">
      <x:c r="A49" s="3"/>
      <x:c r="B49" s="3"/>
      <x:c r="C49" s="3"/>
      <x:c r="D49" s="3"/>
      <x:c r="E49" s="3"/>
      <x:c r="F49" s="3"/>
      <x:c r="G49" s="3"/>
      <x:c r="H49" s="3"/>
    </x:row>
    <x:row r="50" ht="38" customHeight="1">
      <x:c r="A50" s="3"/>
      <x:c r="B50" s="3"/>
      <x:c r="C50" s="3"/>
      <x:c r="D50" s="3"/>
      <x:c r="E50" s="3"/>
      <x:c r="F50" s="3"/>
      <x:c r="G50" s="3"/>
      <x:c r="H50" s="3"/>
    </x:row>
    <x:row r="51" ht="38" customHeight="1">
      <x:c r="A51" s="3"/>
      <x:c r="B51" s="3"/>
      <x:c r="C51" s="3"/>
      <x:c r="D51" s="3"/>
      <x:c r="E51" s="3"/>
      <x:c r="F51" s="3"/>
      <x:c r="G51" s="3"/>
      <x:c r="H51" s="3"/>
    </x:row>
    <x:row r="52" ht="38" customHeight="1">
      <x:c r="A52" s="3"/>
      <x:c r="B52" s="3"/>
      <x:c r="C52" s="3"/>
      <x:c r="D52" s="3"/>
      <x:c r="E52" s="3"/>
      <x:c r="F52" s="3"/>
      <x:c r="G52" s="3"/>
      <x:c r="H52" s="3"/>
    </x:row>
    <x:row r="53" ht="38" customHeight="1">
      <x:c r="A53" s="3"/>
      <x:c r="B53" s="3"/>
      <x:c r="C53" s="3"/>
      <x:c r="D53" s="3"/>
      <x:c r="E53" s="3"/>
      <x:c r="F53" s="3"/>
      <x:c r="G53" s="3"/>
      <x:c r="H53" s="3"/>
    </x:row>
    <x:row r="54" ht="38" customHeight="1">
      <x:c r="A54" s="3"/>
      <x:c r="B54" s="3"/>
      <x:c r="C54" s="3"/>
      <x:c r="D54" s="3"/>
      <x:c r="E54" s="3"/>
      <x:c r="F54" s="3"/>
      <x:c r="G54" s="3"/>
      <x:c r="H54" s="3"/>
    </x:row>
    <x:row r="55" ht="38" customHeight="1">
      <x:c r="A55" s="3"/>
      <x:c r="B55" s="3"/>
      <x:c r="C55" s="3"/>
      <x:c r="D55" s="3"/>
      <x:c r="E55" s="3"/>
      <x:c r="F55" s="3"/>
      <x:c r="G55" s="3"/>
      <x:c r="H55" s="3"/>
    </x:row>
    <x:row r="56" ht="38" customHeight="1">
      <x:c r="A56" s="3"/>
      <x:c r="B56" s="3"/>
      <x:c r="C56" s="3"/>
      <x:c r="D56" s="3"/>
      <x:c r="E56" s="3"/>
      <x:c r="F56" s="3"/>
      <x:c r="G56" s="3"/>
      <x:c r="H56" s="3"/>
    </x:row>
    <x:row r="57" ht="38" customHeight="1">
      <x:c r="A57" s="3"/>
      <x:c r="B57" s="3"/>
      <x:c r="C57" s="3"/>
      <x:c r="D57" s="3"/>
      <x:c r="E57" s="3"/>
      <x:c r="F57" s="3"/>
      <x:c r="G57" s="3"/>
      <x:c r="H57" s="3"/>
    </x:row>
    <x:row r="58" ht="38" customHeight="1">
      <x:c r="A58" s="3"/>
      <x:c r="B58" s="3"/>
      <x:c r="C58" s="3"/>
      <x:c r="D58" s="3"/>
      <x:c r="E58" s="3"/>
      <x:c r="F58" s="3"/>
      <x:c r="G58" s="3"/>
      <x:c r="H58" s="3"/>
    </x:row>
    <x:row r="59" ht="38" customHeight="1">
      <x:c r="A59" s="3"/>
      <x:c r="B59" s="3"/>
      <x:c r="C59" s="3"/>
      <x:c r="D59" s="3"/>
      <x:c r="E59" s="3"/>
      <x:c r="F59" s="3"/>
      <x:c r="G59" s="3"/>
      <x:c r="H59" s="3"/>
    </x:row>
    <x:row r="60" ht="38" customHeight="1">
      <x:c r="A60" s="3"/>
      <x:c r="B60" s="3"/>
      <x:c r="C60" s="3"/>
      <x:c r="D60" s="3"/>
      <x:c r="E60" s="3"/>
      <x:c r="F60" s="3"/>
      <x:c r="G60" s="3"/>
      <x:c r="H60" s="3"/>
    </x:row>
    <x:row r="61" ht="38" customHeight="1">
      <x:c r="A61" s="3"/>
      <x:c r="B61" s="3"/>
      <x:c r="C61" s="3"/>
      <x:c r="D61" s="3"/>
      <x:c r="E61" s="3"/>
      <x:c r="F61" s="3"/>
      <x:c r="G61" s="3"/>
      <x:c r="H61" s="3"/>
    </x:row>
    <x:row r="62" ht="38" customHeight="1">
      <x:c r="A62" s="3"/>
      <x:c r="B62" s="3"/>
      <x:c r="C62" s="3"/>
      <x:c r="D62" s="3"/>
      <x:c r="E62" s="3"/>
      <x:c r="F62" s="3"/>
      <x:c r="G62" s="3"/>
      <x:c r="H62" s="3"/>
    </x:row>
    <x:row r="63" ht="38" customHeight="1">
      <x:c r="A63" s="3"/>
      <x:c r="B63" s="3"/>
      <x:c r="C63" s="3"/>
      <x:c r="D63" s="3"/>
      <x:c r="E63" s="3"/>
      <x:c r="F63" s="3"/>
      <x:c r="G63" s="3"/>
      <x:c r="H63" s="3"/>
    </x:row>
    <x:row r="64" ht="38" customHeight="1">
      <x:c r="A64" s="3"/>
      <x:c r="B64" s="3"/>
      <x:c r="C64" s="3"/>
      <x:c r="D64" s="3"/>
      <x:c r="E64" s="3"/>
      <x:c r="F64" s="3"/>
      <x:c r="G64" s="3"/>
      <x:c r="H64" s="3"/>
    </x:row>
    <x:row r="65" ht="38" customHeight="1">
      <x:c r="A65" s="3"/>
      <x:c r="B65" s="3"/>
      <x:c r="C65" s="3"/>
      <x:c r="D65" s="3"/>
      <x:c r="E65" s="3"/>
      <x:c r="F65" s="3"/>
      <x:c r="G65" s="3"/>
      <x:c r="H65" s="3"/>
    </x:row>
    <x:row r="66" ht="38" customHeight="1">
      <x:c r="A66" s="3"/>
      <x:c r="B66" s="3"/>
      <x:c r="C66" s="3"/>
      <x:c r="D66" s="3"/>
      <x:c r="E66" s="3"/>
      <x:c r="F66" s="3"/>
      <x:c r="G66" s="3"/>
      <x:c r="H66" s="3"/>
    </x:row>
    <x:row r="67" ht="38" customHeight="1">
      <x:c r="A67" s="3"/>
      <x:c r="B67" s="3"/>
      <x:c r="C67" s="3"/>
      <x:c r="D67" s="3"/>
      <x:c r="E67" s="3"/>
      <x:c r="F67" s="3"/>
      <x:c r="G67" s="3"/>
      <x:c r="H67" s="3"/>
    </x:row>
    <x:row r="68" ht="38" customHeight="1">
      <x:c r="A68" s="3"/>
      <x:c r="B68" s="3"/>
      <x:c r="C68" s="3"/>
      <x:c r="D68" s="3"/>
      <x:c r="E68" s="3"/>
      <x:c r="F68" s="3"/>
      <x:c r="G68" s="3"/>
      <x:c r="H68" s="3"/>
    </x:row>
    <x:row r="69" ht="38" customHeight="1">
      <x:c r="A69" s="3"/>
      <x:c r="B69" s="3"/>
      <x:c r="C69" s="3"/>
      <x:c r="D69" s="3"/>
      <x:c r="E69" s="3"/>
      <x:c r="F69" s="3"/>
      <x:c r="G69" s="3"/>
      <x:c r="H69" s="3"/>
    </x:row>
    <x:row r="70" ht="38" customHeight="1">
      <x:c r="A70" s="3"/>
      <x:c r="B70" s="3"/>
      <x:c r="C70" s="3"/>
      <x:c r="D70" s="3"/>
      <x:c r="E70" s="3"/>
      <x:c r="F70" s="3"/>
      <x:c r="G70" s="3"/>
      <x:c r="H70" s="3"/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4" topLeftCell="A5" activePane="bottomLeft" state="frozen"/>
    </sheetView>
  </sheetViews>
  <sheetFormatPr defaultRowHeight="15"/>
  <cols>
    <col min="1" max="1" width="9" hidden="0" customWidth="1"/>
    <col min="2" max="2" width="25" hidden="0" customWidth="1"/>
    <col min="3" max="3" width="31" hidden="0" customWidth="1"/>
    <col min="4" max="4" width="17" hidden="0" customWidth="1"/>
    <col min="5" max="5" width="31" hidden="0" customWidth="1"/>
    <col min="6" max="6" width="33" hidden="0" customWidth="1"/>
    <col min="7" max="7" width="52" hidden="0" customWidth="1"/>
    <col min="8" max="8" width="57" hidden="0" customWidth="1"/>
  </cols>
  <sheetData>
    <row r="1" ht="38" customHeight="1">
      <c r="A1" s="5" t="str">
        <v>追加品BOM　実在品番と適合条件</v>
      </c>
      <c r="B1" s="5"/>
      <c r="C1" s="5"/>
      <c r="D1" s="5"/>
      <c r="E1" s="5"/>
      <c r="F1" s="5"/>
      <c r="G1" s="5"/>
      <c r="H1" s="5"/>
    </row>
    <row r="2" ht="38" customHeight="1">
      <c r="A2" s="6" t="str">
        <v>Rev B-1　2026-10-24　製作承認：保留／原図指定と追加案を区別</v>
      </c>
      <c r="B2" s="6"/>
      <c r="C2" s="6"/>
      <c r="D2" s="6"/>
      <c r="E2" s="6"/>
      <c r="F2" s="6"/>
      <c r="G2" s="6"/>
      <c r="H2" s="6"/>
    </row>
    <row r="3" ht="38" customHeight="1">
      <c r="A3" s="3"/>
      <c r="B3" s="3"/>
      <c r="C3" s="3"/>
      <c r="D3" s="3"/>
      <c r="E3" s="3"/>
      <c r="F3" s="3"/>
      <c r="G3" s="3"/>
      <c r="H3" s="3"/>
    </row>
    <row r="4" ht="38" customHeight="1">
      <c r="A4" s="9" t="str">
        <v>ID</v>
      </c>
      <c r="B4" s="9" t="str">
        <v>用途</v>
      </c>
      <c r="C4" s="9" t="str">
        <v>メーカー・品番</v>
      </c>
      <c r="D4" s="9" t="str">
        <v>注文コード</v>
      </c>
      <c r="E4" s="9" t="str">
        <v>仕様</v>
      </c>
      <c r="F4" s="9" t="str">
        <v>発注単位／数量案</v>
      </c>
      <c r="G4" s="9" t="str">
        <v>適合条件</v>
      </c>
      <c r="H4" s="9" t="str">
        <v>商品リンク</v>
      </c>
    </row>
    <row r="5" ht="95" customHeight="1">
      <c r="A5" s="10" t="str">
        <v>P01</v>
      </c>
      <c r="B5" s="10" t="str">
        <v>すべり材</v>
      </c>
      <c r="C5" s="10" t="str">
        <v>日東 No.903UL</v>
      </c>
      <c r="D5" s="15" t="str">
        <v>02340877</v>
      </c>
      <c r="E5" s="10" t="str">
        <v>0.23×10mm×10m</v>
      </c>
      <c r="F5" s="10" t="str">
        <v>1巻／4×80mmを仮定</v>
      </c>
      <c r="G5" s="10" t="str">
        <v>溝3.9で遊び0.44。実厚確認</v>
      </c>
      <c r="H5" s="10" t="str">
        <v>https://www.monotaro.com/p/0234/0877/</v>
      </c>
    </row>
    <row r="6" ht="95" customHeight="1">
      <c r="A6" s="10" t="str">
        <v>P02</v>
      </c>
      <c r="B6" s="10" t="str">
        <v>5mm逃げ</v>
      </c>
      <c r="C6" s="10" t="str">
        <v>廣杉 CU-305</v>
      </c>
      <c r="D6" s="15" t="str">
        <v>42266901</v>
      </c>
      <c r="E6" s="10" t="str">
        <v>内径3.2 外径6 長5 SUS303</v>
      </c>
      <c r="F6" s="10" t="str">
        <v>1パック3個／案2個</v>
      </c>
      <c r="G6" s="10" t="str">
        <v>M3用。組付け干渉確認</v>
      </c>
      <c r="H6" s="10" t="str">
        <v>https://www.monotaro.com/p/4226/6901/</v>
      </c>
    </row>
    <row r="7" ht="95" customHeight="1">
      <c r="A7" s="10" t="str">
        <v>P03</v>
      </c>
      <c r="B7" s="10" t="str">
        <v>通路側皿ねじ</v>
      </c>
      <c r="C7" s="10" t="str">
        <v>大阪魂 M3×10</v>
      </c>
      <c r="D7" s="15" t="str">
        <v>05508386</v>
      </c>
      <c r="E7" s="10" t="str">
        <v>SUSXM7 P0.5 頭径6</v>
      </c>
      <c r="F7" s="10" t="str">
        <v>1パック190個／必要数未定</v>
      </c>
      <c r="G7" s="10" t="str">
        <v>既存ナベ頭の突出対策。長さ仮</v>
      </c>
      <c r="H7" s="10" t="str">
        <v>https://www.monotaro.com/p/0550/8386/</v>
      </c>
    </row>
    <row r="8" ht="95" customHeight="1">
      <c r="A8" s="10" t="str">
        <v>P04</v>
      </c>
      <c r="B8" s="10" t="str">
        <v>スペーサー部長ねじ</v>
      </c>
      <c r="C8" s="10" t="str">
        <v>大阪魂 皿M3×16</v>
      </c>
      <c r="D8" s="15" t="str">
        <v>05508422</v>
      </c>
      <c r="E8" s="10" t="str">
        <v>SUSXM7 P0.5 頭径6</v>
      </c>
      <c r="F8" s="10" t="str">
        <v>1パック135個／案2本</v>
      </c>
      <c r="G8" s="10" t="str">
        <v>板3＋逃げ5＋角2＋ナット実厚で確認</v>
      </c>
      <c r="H8" s="10" t="str">
        <v>https://www.monotaro.com/p/0550/8422/</v>
      </c>
    </row>
    <row r="9" ht="95" customHeight="1">
      <c r="A9" s="10" t="str">
        <v>P05</v>
      </c>
      <c r="B9" s="10" t="str">
        <v>開閉終端調整</v>
      </c>
      <c r="C9" s="10" t="str">
        <v>TRUSCO B77-0320</v>
      </c>
      <c r="D9" s="15" t="str">
        <v>39299594</v>
      </c>
      <c r="E9" s="10" t="str">
        <v>平先M3×20 P0.5</v>
      </c>
      <c r="F9" s="10" t="str">
        <v>1セット30本／案2本</v>
      </c>
      <c r="G9" s="10" t="str">
        <v>支持と受け面とロック必要。衝撃不可</v>
      </c>
      <c r="H9" s="10" t="str">
        <v>https://www.monotaro.com/p/3929/9594/</v>
      </c>
    </row>
    <row r="10" ht="95" customHeight="1">
      <c r="A10" s="10" t="str">
        <v>P06</v>
      </c>
      <c r="B10" s="10" t="str">
        <v>箱固定候補</v>
      </c>
      <c r="C10" s="10" t="str">
        <v>TMEH GA-15S-WZ</v>
      </c>
      <c r="D10" s="15" t="str">
        <v>26943078</v>
      </c>
      <c r="E10" s="10" t="str">
        <v>Φ28パイプ用セット</v>
      </c>
      <c r="F10" s="10" t="str">
        <v>仮4セット</v>
      </c>
      <c r="G10" s="10" t="str">
        <v>台車径28のみ。箱取付板と穴は未定</v>
      </c>
      <c r="H10" s="10" t="str">
        <v>https://www.monotaro.com/p/2694/3078/</v>
      </c>
    </row>
    <row r="11" ht="95" customHeight="1">
      <c r="A11" s="10" t="str">
        <v>P07</v>
      </c>
      <c r="B11" s="10" t="str">
        <v>追加支持・予備候補</v>
      </c>
      <c r="C11" s="10" t="str">
        <v>光モール1440</v>
      </c>
      <c r="D11" s="15" t="str">
        <v>40356041</v>
      </c>
      <c r="E11" s="10" t="str">
        <v>L20×20×t2×300</v>
      </c>
      <c r="F11" s="10" t="str">
        <v>1本候補／購入保留</v>
      </c>
      <c r="G11" s="10" t="str">
        <v>元2本の残りでは追加支持を賄えない</v>
      </c>
      <c r="H11" s="10" t="str">
        <v>https://www.monotaro.com/p/4035/6041/</v>
      </c>
    </row>
    <row r="12" ht="38" customHeight="1">
      <c r="A12" s="3"/>
      <c r="B12" s="3"/>
      <c r="C12" s="3"/>
      <c r="D12" s="3"/>
      <c r="E12" s="3"/>
      <c r="F12" s="3"/>
      <c r="G12" s="3"/>
      <c r="H12" s="3"/>
    </row>
    <row r="13" ht="38" customHeight="1">
      <c r="A13" s="3"/>
      <c r="B13" s="3"/>
      <c r="C13" s="3"/>
      <c r="D13" s="3"/>
      <c r="E13" s="3"/>
      <c r="F13" s="3"/>
      <c r="G13" s="3"/>
      <c r="H13" s="3"/>
    </row>
    <row r="14" ht="38" customHeight="1">
      <c r="A14" s="9" t="str">
        <v>対象</v>
      </c>
      <c r="B14" s="9" t="str">
        <v>発注前の確認</v>
      </c>
      <c r="C14" s="3"/>
      <c r="D14" s="3"/>
      <c r="E14" s="3"/>
      <c r="F14" s="3"/>
      <c r="G14" s="3"/>
      <c r="H14" s="3"/>
    </row>
    <row r="15" ht="70" customHeight="1">
      <c r="A15" s="10" t="str">
        <v>長ねじ</v>
      </c>
      <c r="B15" s="10" t="str">
        <v>P04は板3+逃げ5+角2+既存ナット実厚で選定。ナイロン部を有効に貫通、先端は干渉させない。</v>
      </c>
      <c r="C15" s="3"/>
      <c r="D15" s="3"/>
      <c r="E15" s="3"/>
      <c r="F15" s="3"/>
      <c r="G15" s="3"/>
      <c r="H15" s="3"/>
    </row>
    <row r="16" ht="70" customHeight="1">
      <c r="A16" s="10" t="str">
        <v>終端</v>
      </c>
      <c r="B16" s="10" t="str">
        <v>M3平先単体では完成しない。固定支持・受け面・ロックが必要。既存ナイロンナット流用は保持力を確認。</v>
      </c>
      <c r="C16" s="3"/>
      <c r="D16" s="3"/>
      <c r="E16" s="3"/>
      <c r="F16" s="3"/>
      <c r="G16" s="3"/>
      <c r="H16" s="3"/>
    </row>
    <row r="17" ht="70" customHeight="1">
      <c r="A17" s="10" t="str">
        <v>箱固定</v>
      </c>
      <c r="B17" s="10" t="str">
        <v>GA-15S-WZだけでは完成しない。台車径、箱側取付板、ねじ・座金・固定荷重を確定後に選定。</v>
      </c>
      <c r="C17" s="3"/>
      <c r="D17" s="3"/>
      <c r="E17" s="3"/>
      <c r="F17" s="3"/>
      <c r="G17" s="3"/>
      <c r="H17" s="3"/>
    </row>
    <row r="18" ht="70" customHeight="1">
      <c r="A18" s="10" t="str">
        <v>ばね</v>
      </c>
      <c r="B18" s="10" t="str">
        <v>追加ばね購入は現段階で不要。元50mm品1本で試験。戻らない場合は干渉・摩擦を先に解消。</v>
      </c>
      <c r="C18" s="3"/>
      <c r="D18" s="3"/>
      <c r="E18" s="3"/>
      <c r="F18" s="3"/>
      <c r="G18" s="3"/>
      <c r="H18" s="3"/>
    </row>
    <row r="19" ht="70" customHeight="1">
      <c r="A19" s="10" t="str">
        <v>在庫・価格</v>
      </c>
      <c r="B19" s="10" t="str">
        <v>品番と規格を掲載ページで確認。価格・出荷日は発注時確認。個別ページ不可の品は品番一覧で照合。</v>
      </c>
      <c r="C19" s="3"/>
      <c r="D19" s="3"/>
      <c r="E19" s="3"/>
      <c r="F19" s="3"/>
      <c r="G19" s="3"/>
      <c r="H19" s="3"/>
    </row>
    <row r="20" ht="38" customHeight="1">
      <c r="A20" s="3"/>
      <c r="B20" s="3"/>
      <c r="C20" s="3"/>
      <c r="D20" s="3"/>
      <c r="E20" s="3"/>
      <c r="F20" s="3"/>
      <c r="G20" s="3"/>
      <c r="H20" s="3"/>
    </row>
    <row r="21" ht="38" customHeight="1">
      <c r="A21" s="3"/>
      <c r="B21" s="3"/>
      <c r="C21" s="3"/>
      <c r="D21" s="3"/>
      <c r="E21" s="3"/>
      <c r="F21" s="3"/>
      <c r="G21" s="3"/>
      <c r="H21" s="3"/>
    </row>
    <row r="22" ht="38" customHeight="1">
      <c r="A22" s="3"/>
      <c r="B22" s="3"/>
      <c r="C22" s="3"/>
      <c r="D22" s="3"/>
      <c r="E22" s="3"/>
      <c r="F22" s="3"/>
      <c r="G22" s="3"/>
      <c r="H22" s="3"/>
    </row>
    <row r="23" ht="38" customHeight="1">
      <c r="A23" s="3"/>
      <c r="B23" s="3"/>
      <c r="C23" s="3"/>
      <c r="D23" s="3"/>
      <c r="E23" s="3"/>
      <c r="F23" s="3"/>
      <c r="G23" s="3"/>
      <c r="H23" s="3"/>
    </row>
    <row r="24" ht="38" customHeight="1">
      <c r="A24" s="3"/>
      <c r="B24" s="3"/>
      <c r="C24" s="3"/>
      <c r="D24" s="3"/>
      <c r="E24" s="3"/>
      <c r="F24" s="3"/>
      <c r="G24" s="3"/>
      <c r="H24" s="3"/>
    </row>
    <row r="25" ht="38" customHeight="1">
      <c r="A25" s="3"/>
      <c r="B25" s="3"/>
      <c r="C25" s="3"/>
      <c r="D25" s="3"/>
      <c r="E25" s="3"/>
      <c r="F25" s="3"/>
      <c r="G25" s="3"/>
      <c r="H25" s="3"/>
    </row>
    <row r="26" ht="38" customHeight="1">
      <c r="A26" s="3"/>
      <c r="B26" s="3"/>
      <c r="C26" s="3"/>
      <c r="D26" s="3"/>
      <c r="E26" s="3"/>
      <c r="F26" s="3"/>
      <c r="G26" s="3"/>
      <c r="H26" s="3"/>
    </row>
    <row r="27" ht="38" customHeight="1">
      <c r="A27" s="3"/>
      <c r="B27" s="3"/>
      <c r="C27" s="3"/>
      <c r="D27" s="3"/>
      <c r="E27" s="3"/>
      <c r="F27" s="3"/>
      <c r="G27" s="3"/>
      <c r="H27" s="3"/>
    </row>
    <row r="28" ht="38" customHeight="1">
      <c r="A28" s="3"/>
      <c r="B28" s="3"/>
      <c r="C28" s="3"/>
      <c r="D28" s="3"/>
      <c r="E28" s="3"/>
      <c r="F28" s="3"/>
      <c r="G28" s="3"/>
      <c r="H28" s="3"/>
    </row>
    <row r="29" ht="38" customHeight="1">
      <c r="A29" s="3"/>
      <c r="B29" s="3"/>
      <c r="C29" s="3"/>
      <c r="D29" s="3"/>
      <c r="E29" s="3"/>
      <c r="F29" s="3"/>
      <c r="G29" s="3"/>
      <c r="H29" s="3"/>
    </row>
    <row r="30" ht="38" customHeight="1">
      <c r="A30" s="3"/>
      <c r="B30" s="3"/>
      <c r="C30" s="3"/>
      <c r="D30" s="3"/>
      <c r="E30" s="3"/>
      <c r="F30" s="3"/>
      <c r="G30" s="3"/>
      <c r="H30" s="3"/>
    </row>
    <row r="31" ht="38" customHeight="1">
      <c r="A31" s="3"/>
      <c r="B31" s="3"/>
      <c r="C31" s="3"/>
      <c r="D31" s="3"/>
      <c r="E31" s="3"/>
      <c r="F31" s="3"/>
      <c r="G31" s="3"/>
      <c r="H31" s="3"/>
    </row>
    <row r="32" ht="38" customHeight="1">
      <c r="A32" s="3"/>
      <c r="B32" s="3"/>
      <c r="C32" s="3"/>
      <c r="D32" s="3"/>
      <c r="E32" s="3"/>
      <c r="F32" s="3"/>
      <c r="G32" s="3"/>
      <c r="H32" s="3"/>
    </row>
    <row r="33" ht="38" customHeight="1">
      <c r="A33" s="3"/>
      <c r="B33" s="3"/>
      <c r="C33" s="3"/>
      <c r="D33" s="3"/>
      <c r="E33" s="3"/>
      <c r="F33" s="3"/>
      <c r="G33" s="3"/>
      <c r="H33" s="3"/>
    </row>
    <row r="34" ht="38" customHeight="1">
      <c r="A34" s="3"/>
      <c r="B34" s="3"/>
      <c r="C34" s="3"/>
      <c r="D34" s="3"/>
      <c r="E34" s="3"/>
      <c r="F34" s="3"/>
      <c r="G34" s="3"/>
      <c r="H34" s="3"/>
    </row>
    <row r="35" ht="38" customHeight="1">
      <c r="A35" s="3"/>
      <c r="B35" s="3"/>
      <c r="C35" s="3"/>
      <c r="D35" s="3"/>
      <c r="E35" s="3"/>
      <c r="F35" s="3"/>
      <c r="G35" s="3"/>
      <c r="H35" s="3"/>
    </row>
    <row r="36" ht="38" customHeight="1">
      <c r="A36" s="3"/>
      <c r="B36" s="3"/>
      <c r="C36" s="3"/>
      <c r="D36" s="3"/>
      <c r="E36" s="3"/>
      <c r="F36" s="3"/>
      <c r="G36" s="3"/>
      <c r="H36" s="3"/>
    </row>
    <row r="37" ht="38" customHeight="1">
      <c r="A37" s="3"/>
      <c r="B37" s="3"/>
      <c r="C37" s="3"/>
      <c r="D37" s="3"/>
      <c r="E37" s="3"/>
      <c r="F37" s="3"/>
      <c r="G37" s="3"/>
      <c r="H37" s="3"/>
    </row>
    <row r="38" ht="38" customHeight="1">
      <c r="A38" s="3"/>
      <c r="B38" s="3"/>
      <c r="C38" s="3"/>
      <c r="D38" s="3"/>
      <c r="E38" s="3"/>
      <c r="F38" s="3"/>
      <c r="G38" s="3"/>
      <c r="H38" s="3"/>
    </row>
    <row r="39" ht="38" customHeight="1">
      <c r="A39" s="3"/>
      <c r="B39" s="3"/>
      <c r="C39" s="3"/>
      <c r="D39" s="3"/>
      <c r="E39" s="3"/>
      <c r="F39" s="3"/>
      <c r="G39" s="3"/>
      <c r="H39" s="3"/>
    </row>
    <row r="40" ht="38" customHeight="1">
      <c r="A40" s="3"/>
      <c r="B40" s="3"/>
      <c r="C40" s="3"/>
      <c r="D40" s="3"/>
      <c r="E40" s="3"/>
      <c r="F40" s="3"/>
      <c r="G40" s="3"/>
      <c r="H40" s="3"/>
    </row>
    <row r="41" ht="38" customHeight="1">
      <c r="A41" s="3"/>
      <c r="B41" s="3"/>
      <c r="C41" s="3"/>
      <c r="D41" s="3"/>
      <c r="E41" s="3"/>
      <c r="F41" s="3"/>
      <c r="G41" s="3"/>
      <c r="H41" s="3"/>
    </row>
    <row r="42" ht="38" customHeight="1">
      <c r="A42" s="3"/>
      <c r="B42" s="3"/>
      <c r="C42" s="3"/>
      <c r="D42" s="3"/>
      <c r="E42" s="3"/>
      <c r="F42" s="3"/>
      <c r="G42" s="3"/>
      <c r="H42" s="3"/>
    </row>
    <row r="43" ht="38" customHeight="1">
      <c r="A43" s="3"/>
      <c r="B43" s="3"/>
      <c r="C43" s="3"/>
      <c r="D43" s="3"/>
      <c r="E43" s="3"/>
      <c r="F43" s="3"/>
      <c r="G43" s="3"/>
      <c r="H43" s="3"/>
    </row>
    <row r="44" ht="38" customHeight="1">
      <c r="A44" s="3"/>
      <c r="B44" s="3"/>
      <c r="C44" s="3"/>
      <c r="D44" s="3"/>
      <c r="E44" s="3"/>
      <c r="F44" s="3"/>
      <c r="G44" s="3"/>
      <c r="H44" s="3"/>
    </row>
    <row r="45" ht="38" customHeight="1">
      <c r="A45" s="3"/>
      <c r="B45" s="3"/>
      <c r="C45" s="3"/>
      <c r="D45" s="3"/>
      <c r="E45" s="3"/>
      <c r="F45" s="3"/>
      <c r="G45" s="3"/>
      <c r="H45" s="3"/>
    </row>
    <row r="46" ht="38" customHeight="1">
      <c r="A46" s="3"/>
      <c r="B46" s="3"/>
      <c r="C46" s="3"/>
      <c r="D46" s="3"/>
      <c r="E46" s="3"/>
      <c r="F46" s="3"/>
      <c r="G46" s="3"/>
      <c r="H46" s="3"/>
    </row>
    <row r="47" ht="38" customHeight="1">
      <c r="A47" s="3"/>
      <c r="B47" s="3"/>
      <c r="C47" s="3"/>
      <c r="D47" s="3"/>
      <c r="E47" s="3"/>
      <c r="F47" s="3"/>
      <c r="G47" s="3"/>
      <c r="H47" s="3"/>
    </row>
    <row r="48" ht="38" customHeight="1">
      <c r="A48" s="3"/>
      <c r="B48" s="3"/>
      <c r="C48" s="3"/>
      <c r="D48" s="3"/>
      <c r="E48" s="3"/>
      <c r="F48" s="3"/>
      <c r="G48" s="3"/>
      <c r="H48" s="3"/>
    </row>
    <row r="49" ht="38" customHeight="1">
      <c r="A49" s="3"/>
      <c r="B49" s="3"/>
      <c r="C49" s="3"/>
      <c r="D49" s="3"/>
      <c r="E49" s="3"/>
      <c r="F49" s="3"/>
      <c r="G49" s="3"/>
      <c r="H49" s="3"/>
    </row>
    <row r="50" ht="38" customHeight="1">
      <c r="A50" s="3"/>
      <c r="B50" s="3"/>
      <c r="C50" s="3"/>
      <c r="D50" s="3"/>
      <c r="E50" s="3"/>
      <c r="F50" s="3"/>
      <c r="G50" s="3"/>
      <c r="H50" s="3"/>
    </row>
    <row r="51" ht="38" customHeight="1">
      <c r="A51" s="3"/>
      <c r="B51" s="3"/>
      <c r="C51" s="3"/>
      <c r="D51" s="3"/>
      <c r="E51" s="3"/>
      <c r="F51" s="3"/>
      <c r="G51" s="3"/>
      <c r="H51" s="3"/>
    </row>
    <row r="52" ht="38" customHeight="1">
      <c r="A52" s="3"/>
      <c r="B52" s="3"/>
      <c r="C52" s="3"/>
      <c r="D52" s="3"/>
      <c r="E52" s="3"/>
      <c r="F52" s="3"/>
      <c r="G52" s="3"/>
      <c r="H52" s="3"/>
    </row>
    <row r="53" ht="38" customHeight="1">
      <c r="A53" s="3"/>
      <c r="B53" s="3"/>
      <c r="C53" s="3"/>
      <c r="D53" s="3"/>
      <c r="E53" s="3"/>
      <c r="F53" s="3"/>
      <c r="G53" s="3"/>
      <c r="H53" s="3"/>
    </row>
    <row r="54" ht="38" customHeight="1">
      <c r="A54" s="3"/>
      <c r="B54" s="3"/>
      <c r="C54" s="3"/>
      <c r="D54" s="3"/>
      <c r="E54" s="3"/>
      <c r="F54" s="3"/>
      <c r="G54" s="3"/>
      <c r="H54" s="3"/>
    </row>
    <row r="55" ht="38" customHeight="1">
      <c r="A55" s="3"/>
      <c r="B55" s="3"/>
      <c r="C55" s="3"/>
      <c r="D55" s="3"/>
      <c r="E55" s="3"/>
      <c r="F55" s="3"/>
      <c r="G55" s="3"/>
      <c r="H55" s="3"/>
    </row>
    <row r="56" ht="38" customHeight="1">
      <c r="A56" s="3"/>
      <c r="B56" s="3"/>
      <c r="C56" s="3"/>
      <c r="D56" s="3"/>
      <c r="E56" s="3"/>
      <c r="F56" s="3"/>
      <c r="G56" s="3"/>
      <c r="H56" s="3"/>
    </row>
    <row r="57" ht="38" customHeight="1">
      <c r="A57" s="3"/>
      <c r="B57" s="3"/>
      <c r="C57" s="3"/>
      <c r="D57" s="3"/>
      <c r="E57" s="3"/>
      <c r="F57" s="3"/>
      <c r="G57" s="3"/>
      <c r="H57" s="3"/>
    </row>
    <row r="58" ht="38" customHeight="1">
      <c r="A58" s="3"/>
      <c r="B58" s="3"/>
      <c r="C58" s="3"/>
      <c r="D58" s="3"/>
      <c r="E58" s="3"/>
      <c r="F58" s="3"/>
      <c r="G58" s="3"/>
      <c r="H58" s="3"/>
    </row>
    <row r="59" ht="38" customHeight="1">
      <c r="A59" s="3"/>
      <c r="B59" s="3"/>
      <c r="C59" s="3"/>
      <c r="D59" s="3"/>
      <c r="E59" s="3"/>
      <c r="F59" s="3"/>
      <c r="G59" s="3"/>
      <c r="H59" s="3"/>
    </row>
    <row r="60" ht="38" customHeight="1">
      <c r="A60" s="3"/>
      <c r="B60" s="3"/>
      <c r="C60" s="3"/>
      <c r="D60" s="3"/>
      <c r="E60" s="3"/>
      <c r="F60" s="3"/>
      <c r="G60" s="3"/>
      <c r="H60" s="3"/>
    </row>
    <row r="61" ht="38" customHeight="1">
      <c r="A61" s="3"/>
      <c r="B61" s="3"/>
      <c r="C61" s="3"/>
      <c r="D61" s="3"/>
      <c r="E61" s="3"/>
      <c r="F61" s="3"/>
      <c r="G61" s="3"/>
      <c r="H61" s="3"/>
    </row>
    <row r="62" ht="38" customHeight="1">
      <c r="A62" s="3"/>
      <c r="B62" s="3"/>
      <c r="C62" s="3"/>
      <c r="D62" s="3"/>
      <c r="E62" s="3"/>
      <c r="F62" s="3"/>
      <c r="G62" s="3"/>
      <c r="H62" s="3"/>
    </row>
    <row r="63" ht="38" customHeight="1">
      <c r="A63" s="3"/>
      <c r="B63" s="3"/>
      <c r="C63" s="3"/>
      <c r="D63" s="3"/>
      <c r="E63" s="3"/>
      <c r="F63" s="3"/>
      <c r="G63" s="3"/>
      <c r="H63" s="3"/>
    </row>
    <row r="64" ht="38" customHeight="1">
      <c r="A64" s="3"/>
      <c r="B64" s="3"/>
      <c r="C64" s="3"/>
      <c r="D64" s="3"/>
      <c r="E64" s="3"/>
      <c r="F64" s="3"/>
      <c r="G64" s="3"/>
      <c r="H64" s="3"/>
    </row>
    <row r="65" ht="38" customHeight="1">
      <c r="A65" s="3"/>
      <c r="B65" s="3"/>
      <c r="C65" s="3"/>
      <c r="D65" s="3"/>
      <c r="E65" s="3"/>
      <c r="F65" s="3"/>
      <c r="G65" s="3"/>
      <c r="H65" s="3"/>
    </row>
    <row r="66" ht="38" customHeight="1">
      <c r="A66" s="3"/>
      <c r="B66" s="3"/>
      <c r="C66" s="3"/>
      <c r="D66" s="3"/>
      <c r="E66" s="3"/>
      <c r="F66" s="3"/>
      <c r="G66" s="3"/>
      <c r="H66" s="3"/>
    </row>
    <row r="67" ht="38" customHeight="1">
      <c r="A67" s="3"/>
      <c r="B67" s="3"/>
      <c r="C67" s="3"/>
      <c r="D67" s="3"/>
      <c r="E67" s="3"/>
      <c r="F67" s="3"/>
      <c r="G67" s="3"/>
      <c r="H67" s="3"/>
    </row>
    <row r="68" ht="38" customHeight="1">
      <c r="A68" s="3"/>
      <c r="B68" s="3"/>
      <c r="C68" s="3"/>
      <c r="D68" s="3"/>
      <c r="E68" s="3"/>
      <c r="F68" s="3"/>
      <c r="G68" s="3"/>
      <c r="H68" s="3"/>
    </row>
    <row r="69" ht="38" customHeight="1">
      <c r="A69" s="3"/>
      <c r="B69" s="3"/>
      <c r="C69" s="3"/>
      <c r="D69" s="3"/>
      <c r="E69" s="3"/>
      <c r="F69" s="3"/>
      <c r="G69" s="3"/>
      <c r="H69" s="3"/>
    </row>
    <row r="70" ht="38" customHeight="1">
      <c r="A70" s="3"/>
      <c r="B70" s="3"/>
      <c r="C70" s="3"/>
      <c r="D70" s="3"/>
      <c r="E70" s="3"/>
      <c r="F70" s="3"/>
      <c r="G70" s="3"/>
      <c r="H70" s="3"/>
    </row>
  </sheetData>
  <mergeCells>
    <mergeCell ref="A1:H1"/>
    <mergeCell ref="A2:H2"/>
    <mergeCell ref="B15:H15"/>
    <mergeCell ref="B16:H16"/>
    <mergeCell ref="B17:H17"/>
    <mergeCell ref="B18:H18"/>
    <mergeCell ref="B19:H19"/>
  </mergeCells>
  <hyperlinks>
    <hyperlink ref="H5" r:id="rIdProduct5"/>
    <hyperlink ref="H6" r:id="rIdProduct6"/>
    <hyperlink ref="H7" r:id="rIdProduct7"/>
    <hyperlink ref="H8" r:id="rIdProduct8"/>
    <hyperlink ref="H9" r:id="rIdProduct9"/>
    <hyperlink ref="H10" r:id="rIdProduct10"/>
    <hyperlink ref="H11" r:id="rIdProduct11"/>
  </hyperlinks>
  <pageMargins left="0.7" right="0.7" top="0.75" bottom="0.75" header="0.3" footer="0.3"/>
</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7" hidden="0" customWidth="1"/>
    <x:col min="3" max="3" width="43" hidden="0" customWidth="1"/>
    <x:col min="4" max="4" width="30" hidden="0" customWidth="1"/>
    <x:col min="5" max="5" width="23" hidden="0" customWidth="1"/>
    <x:col min="6" max="6" width="64" hidden="0" customWidth="1"/>
    <x:col min="7" max="7" width="20" hidden="0" customWidth="1"/>
    <x:col min="8" max="8" width="20" hidden="0" customWidth="1"/>
  </x:cols>
  <x:sheetData>
    <x:row r="1" ht="38" customHeight="1">
      <x:c r="A1" s="5" t="str">
        <x:v>注文済み材料と切出し配分</x:v>
      </x:c>
      <x:c r="B1" s="5"/>
      <x:c r="C1" s="5"/>
      <x:c r="D1" s="5"/>
      <x:c r="E1" s="5"/>
      <x:c r="F1" s="5"/>
      <x:c r="G1" s="5"/>
      <x:c r="H1" s="5"/>
    </x:row>
    <x:row r="2" ht="38" customHeight="1">
      <x:c r="A2" s="6" t="str">
        <x:v>Rev B-1　2026-10-24　製作承認：保留／原図指定と追加案を区別</x:v>
      </x:c>
      <x:c r="B2" s="6"/>
      <x:c r="C2" s="6"/>
      <x:c r="D2" s="6"/>
      <x:c r="E2" s="6"/>
      <x:c r="F2" s="6"/>
      <x:c r="G2" s="6"/>
      <x:c r="H2" s="6"/>
    </x:row>
    <x:row r="3" ht="38" customHeight="1">
      <x:c r="A3" s="3"/>
      <x:c r="B3" s="3"/>
      <x:c r="C3" s="3"/>
      <x:c r="D3" s="3"/>
      <x:c r="E3" s="3"/>
      <x:c r="F3" s="3"/>
      <x:c r="G3" s="3"/>
      <x:c r="H3" s="3"/>
    </x:row>
    <x:row r="4" ht="38" customHeight="1">
      <x:c r="A4" s="9" t="str">
        <x:v>ID</x:v>
      </x:c>
      <x:c r="B4" s="9" t="str">
        <x:v>注文コード</x:v>
      </x:c>
      <x:c r="C4" s="9" t="str">
        <x:v>指定品</x:v>
      </x:c>
      <x:c r="D4" s="9" t="str">
        <x:v>注文数</x:v>
      </x:c>
      <x:c r="E4" s="9" t="str">
        <x:v>扱い</x:v>
      </x:c>
      <x:c r="F4" s="9" t="str">
        <x:v>条件</x:v>
      </x:c>
      <x:c r="G4" s="3"/>
      <x:c r="H4" s="3"/>
    </x:row>
    <x:row r="5" ht="60" customHeight="1">
      <x:c r="A5" s="10" t="str">
        <x:v>M01</x:v>
      </x:c>
      <x:c r="B5" s="15" t="str">
        <x:v>42797833</x:v>
      </x:c>
      <x:c r="C5" s="10" t="str">
        <x:v>TSB 6.5×40 M5</x:v>
      </x:c>
      <x:c r="D5" s="10" t="str">
        <x:v>1パック2個</x:v>
      </x:c>
      <x:c r="E5" s="10" t="str">
        <x:v>不使用・保管</x:v>
      </x:c>
      <x:c r="F5" s="10" t="str">
        <x:v>回転軸廃止</x:v>
      </x:c>
      <x:c r="G5" s="3"/>
      <x:c r="H5" s="3"/>
    </x:row>
    <x:row r="6" ht="60" customHeight="1">
      <x:c r="A6" s="10" t="str">
        <x:v>M02</x:v>
      </x:c>
      <x:c r="B6" s="15" t="str">
        <x:v>25266354</x:v>
      </x:c>
      <x:c r="C6" s="10" t="str">
        <x:v>B133-0005 M5</x:v>
      </x:c>
      <x:c r="D6" s="10" t="str">
        <x:v>1パック40個</x:v>
      </x:c>
      <x:c r="E6" s="10" t="str">
        <x:v>不使用・保管</x:v>
      </x:c>
      <x:c r="F6" s="10" t="str">
        <x:v>TSB用</x:v>
      </x:c>
      <x:c r="G6" s="3"/>
      <x:c r="H6" s="3"/>
    </x:row>
    <x:row r="7" ht="60" customHeight="1">
      <x:c r="A7" s="10" t="str">
        <x:v>M03</x:v>
      </x:c>
      <x:c r="B7" s="15" t="str">
        <x:v>25266336</x:v>
      </x:c>
      <x:c r="C7" s="10" t="str">
        <x:v>B133-0003 M3</x:v>
      </x:c>
      <x:c r="D7" s="10" t="str">
        <x:v>1パック60個</x:v>
      </x:c>
      <x:c r="E7" s="10" t="str">
        <x:v>流用候補</x:v>
      </x:c>
      <x:c r="F7" s="10" t="str">
        <x:v>ナイロン部の有効貫通と実厚確認</x:v>
      </x:c>
      <x:c r="G7" s="3"/>
      <x:c r="H7" s="3"/>
    </x:row>
    <x:row r="8" ht="60" customHeight="1">
      <x:c r="A8" s="10" t="str">
        <x:v>M04</x:v>
      </x:c>
      <x:c r="B8" s="15" t="str">
        <x:v>08326692</x:v>
      </x:c>
      <x:c r="C8" s="10" t="str">
        <x:v>ナベM3×10 SUSXM7</x:v>
      </x:c>
      <x:c r="D8" s="10" t="str">
        <x:v>1パック／入数未確認</x:v>
      </x:c>
      <x:c r="E8" s="10" t="str">
        <x:v>外側固定へ流用</x:v>
      </x:c>
      <x:c r="F8" s="10" t="str">
        <x:v>通路や摺動面へ頭・ねじ先を出さない</x:v>
      </x:c>
      <x:c r="G8" s="3"/>
      <x:c r="H8" s="3"/>
    </x:row>
    <x:row r="9" ht="60" customHeight="1">
      <x:c r="A9" s="10" t="str">
        <x:v>M05</x:v>
      </x:c>
      <x:c r="B9" s="15" t="str">
        <x:v>61084476</x:v>
      </x:c>
      <x:c r="C9" s="10" t="str">
        <x:v>05.50-035.0-0.5</x:v>
      </x:c>
      <x:c r="D9" s="10" t="str">
        <x:v>1パック2本</x:v>
      </x:c>
      <x:c r="E9" s="10" t="str">
        <x:v>代替試験用</x:v>
      </x:c>
      <x:c r="F9" s="10" t="str">
        <x:v>自由長35 k0.09 初張力0.5 許容8N</x:v>
      </x:c>
      <x:c r="G9" s="3"/>
      <x:c r="H9" s="3"/>
    </x:row>
    <x:row r="10" ht="60" customHeight="1">
      <x:c r="A10" s="10" t="str">
        <x:v>M06</x:v>
      </x:c>
      <x:c r="B10" s="15" t="str">
        <x:v>61084494</x:v>
      </x:c>
      <x:c r="C10" s="10" t="str">
        <x:v>08.00-050.0-0.9</x:v>
      </x:c>
      <x:c r="D10" s="10" t="str">
        <x:v>1パック2本</x:v>
      </x:c>
      <x:c r="E10" s="10" t="str">
        <x:v>第一候補1本</x:v>
      </x:c>
      <x:c r="F10" s="10" t="str">
        <x:v>自由長50 k0.44 初張力2.5 許容31N</x:v>
      </x:c>
      <x:c r="G10" s="3"/>
      <x:c r="H10" s="3"/>
    </x:row>
    <x:row r="11" ht="60" customHeight="1">
      <x:c r="A11" s="10" t="str">
        <x:v>M07</x:v>
      </x:c>
      <x:c r="B11" s="15" t="str">
        <x:v>40356041</x:v>
      </x:c>
      <x:c r="C11" s="10" t="str">
        <x:v>1440 L20×20×t2×300</x:v>
      </x:c>
      <x:c r="D11" s="10" t="str">
        <x:v>2本</x:v>
      </x:c>
      <x:c r="E11" s="10" t="str">
        <x:v>切出し</x:v>
      </x:c>
      <x:c r="F11" s="10" t="str">
        <x:v>切断代2の条件で使用298／294</x:v>
      </x:c>
      <x:c r="G11" s="3"/>
      <x:c r="H11" s="3"/>
    </x:row>
    <x:row r="12" ht="60" customHeight="1">
      <x:c r="A12" s="10" t="str">
        <x:v>M08</x:v>
      </x:c>
      <x:c r="B12" s="15" t="str">
        <x:v>36712636</x:v>
      </x:c>
      <x:c r="C12" s="10" t="str">
        <x:v>オーダー平板 幅40 t3</x:v>
      </x:c>
      <x:c r="D12" s="10" t="str">
        <x:v>1本／注文長不明</x:v>
      </x:c>
      <x:c r="E12" s="10" t="str">
        <x:v>ゲート110</x:v>
      </x:c>
      <x:c r="F12" s="10" t="str">
        <x:v>必要長112以上。150は原図仮定</x:v>
      </x:c>
      <x:c r="G12" s="3"/>
      <x:c r="H12" s="3"/>
    </x:row>
    <x:row r="13" ht="60" customHeight="1">
      <x:c r="A13" s="10" t="str">
        <x:v>M09</x:v>
      </x:c>
      <x:c r="B13" s="15" t="str">
        <x:v>未提示</x:v>
      </x:c>
      <x:c r="C13" s="10" t="str">
        <x:v>ダクト・箱・台車・BS-01</x:v>
      </x:c>
      <x:c r="D13" s="10" t="str">
        <x:v>現物情報不足</x:v>
      </x:c>
      <x:c r="E13" s="10" t="str">
        <x:v>要照合</x:v>
      </x:c>
      <x:c r="F13" s="10" t="str">
        <x:v>出口内幅・箱内寸・台車径・可動包絡を測定</x:v>
      </x:c>
      <x:c r="G13" s="3"/>
      <x:c r="H13" s="3"/>
    </x:row>
    <x:row r="14" ht="38" customHeight="1">
      <x:c r="A14" s="3"/>
      <x:c r="B14" s="3"/>
      <x:c r="C14" s="3"/>
      <x:c r="D14" s="3"/>
      <x:c r="E14" s="3"/>
      <x:c r="F14" s="3"/>
      <x:c r="G14" s="3"/>
      <x:c r="H14" s="3"/>
    </x:row>
    <x:row r="15" ht="38" customHeight="1">
      <x:c r="A15" s="3"/>
      <x:c r="B15" s="3"/>
      <x:c r="C15" s="3"/>
      <x:c r="D15" s="3"/>
      <x:c r="E15" s="3"/>
      <x:c r="F15" s="3"/>
      <x:c r="G15" s="3"/>
      <x:c r="H15" s="3"/>
    </x:row>
    <x:row r="16" ht="38" customHeight="1">
      <x:c r="A16" s="9" t="str">
        <x:v>母材</x:v>
      </x:c>
      <x:c r="B16" s="9" t="str">
        <x:v>部品</x:v>
      </x:c>
      <x:c r="C16" s="9" t="str">
        <x:v>切断長mm</x:v>
      </x:c>
      <x:c r="D16" s="9" t="str">
        <x:v>開始mm</x:v>
      </x:c>
      <x:c r="E16" s="9" t="str">
        <x:v>製品終端mm</x:v>
      </x:c>
      <x:c r="F16" s="9" t="str">
        <x:v>次の切断代mm</x:v>
      </x:c>
      <x:c r="G16" s="3"/>
      <x:c r="H16" s="3"/>
    </x:row>
    <x:row r="17" ht="38" customHeight="1">
      <x:c r="A17" s="10" t="str">
        <x:v>A</x:v>
      </x:c>
      <x:c r="B17" s="10" t="str">
        <x:v>G1</x:v>
      </x:c>
      <x:c r="C17" s="10" t="n">
        <x:v>80</x:v>
      </x:c>
      <x:c r="D17" s="10" t="n">
        <x:v>0</x:v>
      </x:c>
      <x:c r="E17" s="10" t="n">
        <x:v>80</x:v>
      </x:c>
      <x:c r="F17" s="10" t="n">
        <x:v>2</x:v>
      </x:c>
      <x:c r="G17" s="3"/>
      <x:c r="H17" s="3"/>
    </x:row>
    <x:row r="18" ht="38" customHeight="1">
      <x:c r="A18" s="10" t="str">
        <x:v>A</x:v>
      </x:c>
      <x:c r="B18" s="10" t="str">
        <x:v>G2</x:v>
      </x:c>
      <x:c r="C18" s="10" t="n">
        <x:v>80</x:v>
      </x:c>
      <x:c r="D18" s="10" t="n">
        <x:v>82</x:v>
      </x:c>
      <x:c r="E18" s="10" t="n">
        <x:v>162</x:v>
      </x:c>
      <x:c r="F18" s="10" t="n">
        <x:v>2</x:v>
      </x:c>
      <x:c r="G18" s="3"/>
      <x:c r="H18" s="3"/>
    </x:row>
    <x:row r="19" ht="38" customHeight="1">
      <x:c r="A19" s="10" t="str">
        <x:v>A</x:v>
      </x:c>
      <x:c r="B19" s="10" t="str">
        <x:v>G3</x:v>
      </x:c>
      <x:c r="C19" s="10" t="n">
        <x:v>80</x:v>
      </x:c>
      <x:c r="D19" s="10" t="n">
        <x:v>164</x:v>
      </x:c>
      <x:c r="E19" s="10" t="n">
        <x:v>244</x:v>
      </x:c>
      <x:c r="F19" s="10" t="n">
        <x:v>2</x:v>
      </x:c>
      <x:c r="G19" s="3"/>
      <x:c r="H19" s="3"/>
    </x:row>
    <x:row r="20" ht="38" customHeight="1">
      <x:c r="A20" s="10" t="str">
        <x:v>A</x:v>
      </x:c>
      <x:c r="B20" s="10" t="str">
        <x:v>C1</x:v>
      </x:c>
      <x:c r="C20" s="10" t="n">
        <x:v>50</x:v>
      </x:c>
      <x:c r="D20" s="10" t="n">
        <x:v>246</x:v>
      </x:c>
      <x:c r="E20" s="10" t="n">
        <x:v>296</x:v>
      </x:c>
      <x:c r="F20" s="10" t="n">
        <x:v>2</x:v>
      </x:c>
      <x:c r="G20" s="3"/>
      <x:c r="H20" s="3"/>
    </x:row>
    <x:row r="21" ht="38" customHeight="1">
      <x:c r="A21" s="10" t="str">
        <x:v>B</x:v>
      </x:c>
      <x:c r="B21" s="10" t="str">
        <x:v>G4</x:v>
      </x:c>
      <x:c r="C21" s="10" t="n">
        <x:v>80</x:v>
      </x:c>
      <x:c r="D21" s="10" t="n">
        <x:v>0</x:v>
      </x:c>
      <x:c r="E21" s="10" t="n">
        <x:v>80</x:v>
      </x:c>
      <x:c r="F21" s="10" t="n">
        <x:v>2</x:v>
      </x:c>
      <x:c r="G21" s="3"/>
      <x:c r="H21" s="3"/>
    </x:row>
    <x:row r="22" ht="38" customHeight="1">
      <x:c r="A22" s="10" t="str">
        <x:v>B</x:v>
      </x:c>
      <x:c r="B22" s="10" t="str">
        <x:v>S1</x:v>
      </x:c>
      <x:c r="C22" s="10" t="n">
        <x:v>80</x:v>
      </x:c>
      <x:c r="D22" s="10" t="n">
        <x:v>82</x:v>
      </x:c>
      <x:c r="E22" s="10" t="n">
        <x:v>162</x:v>
      </x:c>
      <x:c r="F22" s="10" t="n">
        <x:v>2</x:v>
      </x:c>
      <x:c r="G22" s="3"/>
      <x:c r="H22" s="3"/>
    </x:row>
    <x:row r="23" ht="38" customHeight="1">
      <x:c r="A23" s="10" t="str">
        <x:v>B</x:v>
      </x:c>
      <x:c r="B23" s="10" t="str">
        <x:v>B1</x:v>
      </x:c>
      <x:c r="C23" s="10" t="n">
        <x:v>30</x:v>
      </x:c>
      <x:c r="D23" s="10" t="n">
        <x:v>164</x:v>
      </x:c>
      <x:c r="E23" s="10" t="n">
        <x:v>194</x:v>
      </x:c>
      <x:c r="F23" s="10" t="n">
        <x:v>2</x:v>
      </x:c>
      <x:c r="G23" s="3"/>
      <x:c r="H23" s="3"/>
    </x:row>
    <x:row r="24" ht="38" customHeight="1">
      <x:c r="A24" s="10" t="str">
        <x:v>B</x:v>
      </x:c>
      <x:c r="B24" s="10" t="str">
        <x:v>B2</x:v>
      </x:c>
      <x:c r="C24" s="10" t="n">
        <x:v>30</x:v>
      </x:c>
      <x:c r="D24" s="10" t="n">
        <x:v>196</x:v>
      </x:c>
      <x:c r="E24" s="10" t="n">
        <x:v>226</x:v>
      </x:c>
      <x:c r="F24" s="10" t="n">
        <x:v>2</x:v>
      </x:c>
      <x:c r="G24" s="3"/>
      <x:c r="H24" s="3"/>
    </x:row>
    <x:row r="25" ht="38" customHeight="1">
      <x:c r="A25" s="10" t="str">
        <x:v>B</x:v>
      </x:c>
      <x:c r="B25" s="10" t="str">
        <x:v>F1</x:v>
      </x:c>
      <x:c r="C25" s="10" t="n">
        <x:v>20</x:v>
      </x:c>
      <x:c r="D25" s="10" t="n">
        <x:v>228</x:v>
      </x:c>
      <x:c r="E25" s="10" t="n">
        <x:v>248</x:v>
      </x:c>
      <x:c r="F25" s="10" t="n">
        <x:v>2</x:v>
      </x:c>
      <x:c r="G25" s="3"/>
      <x:c r="H25" s="3"/>
    </x:row>
    <x:row r="26" ht="38" customHeight="1">
      <x:c r="A26" s="10" t="str">
        <x:v>B</x:v>
      </x:c>
      <x:c r="B26" s="10" t="str">
        <x:v>H1</x:v>
      </x:c>
      <x:c r="C26" s="10" t="n">
        <x:v>20</x:v>
      </x:c>
      <x:c r="D26" s="10" t="n">
        <x:v>250</x:v>
      </x:c>
      <x:c r="E26" s="10" t="n">
        <x:v>270</x:v>
      </x:c>
      <x:c r="F26" s="10" t="n">
        <x:v>2</x:v>
      </x:c>
      <x:c r="G26" s="3"/>
      <x:c r="H26" s="3"/>
    </x:row>
    <x:row r="27" ht="38" customHeight="1">
      <x:c r="A27" s="10" t="str">
        <x:v>B</x:v>
      </x:c>
      <x:c r="B27" s="10" t="str">
        <x:v>H2</x:v>
      </x:c>
      <x:c r="C27" s="10" t="n">
        <x:v>20</x:v>
      </x:c>
      <x:c r="D27" s="10" t="n">
        <x:v>272</x:v>
      </x:c>
      <x:c r="E27" s="10" t="n">
        <x:v>292</x:v>
      </x:c>
      <x:c r="F27" s="10" t="n">
        <x:v>2</x:v>
      </x:c>
      <x:c r="G27" s="3"/>
      <x:c r="H27" s="3"/>
    </x:row>
    <x:row r="28" ht="38" customHeight="1">
      <x:c r="A28" s="3"/>
      <x:c r="B28" s="3"/>
      <x:c r="C28" s="3"/>
      <x:c r="D28" s="3"/>
      <x:c r="E28" s="3"/>
      <x:c r="F28" s="3"/>
      <x:c r="G28" s="3"/>
      <x:c r="H28" s="3"/>
    </x:row>
    <x:row r="29" ht="38" customHeight="1">
      <x:c r="A29" s="3"/>
      <x:c r="B29" s="3"/>
      <x:c r="C29" s="3"/>
      <x:c r="D29" s="3"/>
      <x:c r="E29" s="3"/>
      <x:c r="F29" s="3"/>
      <x:c r="G29" s="3"/>
      <x:c r="H29" s="3"/>
    </x:row>
    <x:row r="30" ht="38" customHeight="1">
      <x:c r="A30" s="9" t="str">
        <x:v>母材</x:v>
      </x:c>
      <x:c r="B30" s="9" t="str">
        <x:v>母材長</x:v>
      </x:c>
      <x:c r="C30" s="9" t="str">
        <x:v>使用長</x:v>
      </x:c>
      <x:c r="D30" s="9" t="str">
        <x:v>残り</x:v>
      </x:c>
      <x:c r="E30" s="9" t="str">
        <x:v>条件</x:v>
      </x:c>
      <x:c r="F30" s="3"/>
      <x:c r="G30" s="3"/>
      <x:c r="H30" s="3"/>
    </x:row>
    <x:row r="31" ht="38" customHeight="1">
      <x:c r="A31" s="10" t="str">
        <x:v>A</x:v>
      </x:c>
      <x:c r="B31" s="10" t="n">
        <x:v>300</x:v>
      </x:c>
      <x:c r="C31" s="10" t="n">
        <x:v>298</x:v>
      </x:c>
      <x:c r="D31" s="10" t="n">
        <x:v>2</x:v>
      </x:c>
      <x:c r="E31" s="10" t="str">
        <x:v>G1,G2,G3,C1</x:v>
      </x:c>
      <x:c r="F31" s="3"/>
      <x:c r="G31" s="3"/>
      <x:c r="H31" s="3"/>
    </x:row>
    <x:row r="32" ht="38" customHeight="1">
      <x:c r="A32" s="10" t="str">
        <x:v>B</x:v>
      </x:c>
      <x:c r="B32" s="10" t="n">
        <x:v>300</x:v>
      </x:c>
      <x:c r="C32" s="10" t="n">
        <x:v>294</x:v>
      </x:c>
      <x:c r="D32" s="10" t="n">
        <x:v>6</x:v>
      </x:c>
      <x:c r="E32" s="10" t="str">
        <x:v>G4,S1,B1,B2,F1,H1,H2</x:v>
      </x:c>
      <x:c r="F32" s="3"/>
      <x:c r="G32" s="3"/>
      <x:c r="H32" s="3"/>
    </x:row>
    <x:row r="33" ht="38" customHeight="1">
      <x:c r="A33" s="10" t="str">
        <x:v>平板</x:v>
      </x:c>
      <x:c r="B33" s="10"/>
      <x:c r="C33" s="10" t="n">
        <x:v>112</x:v>
      </x:c>
      <x:c r="D33" s="10"/>
      <x:c r="E33" s="10" t="str">
        <x:v>110＋切断2。注文長を確認</x:v>
      </x:c>
      <x:c r="F33" s="3"/>
      <x:c r="G33" s="3"/>
      <x:c r="H33" s="3"/>
    </x:row>
    <x:row r="34" ht="38" customHeight="1">
      <x:c r="A34" s="3"/>
      <x:c r="B34" s="3"/>
      <x:c r="C34" s="3"/>
      <x:c r="D34" s="3"/>
      <x:c r="E34" s="3"/>
      <x:c r="F34" s="3"/>
      <x:c r="G34" s="3"/>
      <x:c r="H34" s="3"/>
    </x:row>
    <x:row r="35" ht="38" customHeight="1">
      <x:c r="A35" s="3" t="str">
        <x:v>切断代2を含む累積位置。端面修正代なし。実刃幅が2を超える場合、切断前に再計算。</x:v>
      </x:c>
      <x:c r="B35" s="3"/>
      <x:c r="C35" s="3"/>
      <x:c r="D35" s="3"/>
      <x:c r="E35" s="3"/>
      <x:c r="F35" s="3"/>
      <x:c r="G35" s="3"/>
      <x:c r="H35" s="3"/>
    </x:row>
    <x:row r="36" ht="38" customHeight="1">
      <x:c r="A36" s="3"/>
      <x:c r="B36" s="3"/>
      <x:c r="C36" s="3"/>
      <x:c r="D36" s="3"/>
      <x:c r="E36" s="3"/>
      <x:c r="F36" s="3"/>
      <x:c r="G36" s="3"/>
      <x:c r="H36" s="3"/>
    </x:row>
    <x:row r="37" ht="38" customHeight="1">
      <x:c r="A37" s="3"/>
      <x:c r="B37" s="3"/>
      <x:c r="C37" s="3"/>
      <x:c r="D37" s="3"/>
      <x:c r="E37" s="3"/>
      <x:c r="F37" s="3"/>
      <x:c r="G37" s="3"/>
      <x:c r="H37" s="3"/>
    </x:row>
    <x:row r="38" ht="38" customHeight="1">
      <x:c r="A38" s="3"/>
      <x:c r="B38" s="3"/>
      <x:c r="C38" s="3"/>
      <x:c r="D38" s="3"/>
      <x:c r="E38" s="3"/>
      <x:c r="F38" s="3"/>
      <x:c r="G38" s="3"/>
      <x:c r="H38" s="3"/>
    </x:row>
    <x:row r="39" ht="38" customHeight="1">
      <x:c r="A39" s="3"/>
      <x:c r="B39" s="3"/>
      <x:c r="C39" s="3"/>
      <x:c r="D39" s="3"/>
      <x:c r="E39" s="3"/>
      <x:c r="F39" s="3"/>
      <x:c r="G39" s="3"/>
      <x:c r="H39" s="3"/>
    </x:row>
    <x:row r="40" ht="38" customHeight="1">
      <x:c r="A40" s="3"/>
      <x:c r="B40" s="3"/>
      <x:c r="C40" s="3"/>
      <x:c r="D40" s="3"/>
      <x:c r="E40" s="3"/>
      <x:c r="F40" s="3"/>
      <x:c r="G40" s="3"/>
      <x:c r="H40" s="3"/>
    </x:row>
    <x:row r="41" ht="38" customHeight="1">
      <x:c r="A41" s="3"/>
      <x:c r="B41" s="3"/>
      <x:c r="C41" s="3"/>
      <x:c r="D41" s="3"/>
      <x:c r="E41" s="3"/>
      <x:c r="F41" s="3"/>
      <x:c r="G41" s="3"/>
      <x:c r="H41" s="3"/>
    </x:row>
    <x:row r="42" ht="38" customHeight="1">
      <x:c r="A42" s="3"/>
      <x:c r="B42" s="3"/>
      <x:c r="C42" s="3"/>
      <x:c r="D42" s="3"/>
      <x:c r="E42" s="3"/>
      <x:c r="F42" s="3"/>
      <x:c r="G42" s="3"/>
      <x:c r="H42" s="3"/>
    </x:row>
    <x:row r="43" ht="38" customHeight="1">
      <x:c r="A43" s="3"/>
      <x:c r="B43" s="3"/>
      <x:c r="C43" s="3"/>
      <x:c r="D43" s="3"/>
      <x:c r="E43" s="3"/>
      <x:c r="F43" s="3"/>
      <x:c r="G43" s="3"/>
      <x:c r="H43" s="3"/>
    </x:row>
    <x:row r="44" ht="38" customHeight="1">
      <x:c r="A44" s="3"/>
      <x:c r="B44" s="3"/>
      <x:c r="C44" s="3"/>
      <x:c r="D44" s="3"/>
      <x:c r="E44" s="3"/>
      <x:c r="F44" s="3"/>
      <x:c r="G44" s="3"/>
      <x:c r="H44" s="3"/>
    </x:row>
    <x:row r="45" ht="38" customHeight="1">
      <x:c r="A45" s="3"/>
      <x:c r="B45" s="3"/>
      <x:c r="C45" s="3"/>
      <x:c r="D45" s="3"/>
      <x:c r="E45" s="3"/>
      <x:c r="F45" s="3"/>
      <x:c r="G45" s="3"/>
      <x:c r="H45" s="3"/>
    </x:row>
    <x:row r="46" ht="38" customHeight="1">
      <x:c r="A46" s="3"/>
      <x:c r="B46" s="3"/>
      <x:c r="C46" s="3"/>
      <x:c r="D46" s="3"/>
      <x:c r="E46" s="3"/>
      <x:c r="F46" s="3"/>
      <x:c r="G46" s="3"/>
      <x:c r="H46" s="3"/>
    </x:row>
    <x:row r="47" ht="38" customHeight="1">
      <x:c r="A47" s="3"/>
      <x:c r="B47" s="3"/>
      <x:c r="C47" s="3"/>
      <x:c r="D47" s="3"/>
      <x:c r="E47" s="3"/>
      <x:c r="F47" s="3"/>
      <x:c r="G47" s="3"/>
      <x:c r="H47" s="3"/>
    </x:row>
    <x:row r="48" ht="38" customHeight="1">
      <x:c r="A48" s="3"/>
      <x:c r="B48" s="3"/>
      <x:c r="C48" s="3"/>
      <x:c r="D48" s="3"/>
      <x:c r="E48" s="3"/>
      <x:c r="F48" s="3"/>
      <x:c r="G48" s="3"/>
      <x:c r="H48" s="3"/>
    </x:row>
    <x:row r="49" ht="38" customHeight="1">
      <x:c r="A49" s="3"/>
      <x:c r="B49" s="3"/>
      <x:c r="C49" s="3"/>
      <x:c r="D49" s="3"/>
      <x:c r="E49" s="3"/>
      <x:c r="F49" s="3"/>
      <x:c r="G49" s="3"/>
      <x:c r="H49" s="3"/>
    </x:row>
    <x:row r="50" ht="38" customHeight="1">
      <x:c r="A50" s="3"/>
      <x:c r="B50" s="3"/>
      <x:c r="C50" s="3"/>
      <x:c r="D50" s="3"/>
      <x:c r="E50" s="3"/>
      <x:c r="F50" s="3"/>
      <x:c r="G50" s="3"/>
      <x:c r="H50" s="3"/>
    </x:row>
    <x:row r="51" ht="38" customHeight="1">
      <x:c r="A51" s="3"/>
      <x:c r="B51" s="3"/>
      <x:c r="C51" s="3"/>
      <x:c r="D51" s="3"/>
      <x:c r="E51" s="3"/>
      <x:c r="F51" s="3"/>
      <x:c r="G51" s="3"/>
      <x:c r="H51" s="3"/>
    </x:row>
    <x:row r="52" ht="38" customHeight="1">
      <x:c r="A52" s="3"/>
      <x:c r="B52" s="3"/>
      <x:c r="C52" s="3"/>
      <x:c r="D52" s="3"/>
      <x:c r="E52" s="3"/>
      <x:c r="F52" s="3"/>
      <x:c r="G52" s="3"/>
      <x:c r="H52" s="3"/>
    </x:row>
    <x:row r="53" ht="38" customHeight="1">
      <x:c r="A53" s="3"/>
      <x:c r="B53" s="3"/>
      <x:c r="C53" s="3"/>
      <x:c r="D53" s="3"/>
      <x:c r="E53" s="3"/>
      <x:c r="F53" s="3"/>
      <x:c r="G53" s="3"/>
      <x:c r="H53" s="3"/>
    </x:row>
    <x:row r="54" ht="38" customHeight="1">
      <x:c r="A54" s="3"/>
      <x:c r="B54" s="3"/>
      <x:c r="C54" s="3"/>
      <x:c r="D54" s="3"/>
      <x:c r="E54" s="3"/>
      <x:c r="F54" s="3"/>
      <x:c r="G54" s="3"/>
      <x:c r="H54" s="3"/>
    </x:row>
    <x:row r="55" ht="38" customHeight="1">
      <x:c r="A55" s="3"/>
      <x:c r="B55" s="3"/>
      <x:c r="C55" s="3"/>
      <x:c r="D55" s="3"/>
      <x:c r="E55" s="3"/>
      <x:c r="F55" s="3"/>
      <x:c r="G55" s="3"/>
      <x:c r="H55" s="3"/>
    </x:row>
    <x:row r="56" ht="38" customHeight="1">
      <x:c r="A56" s="3"/>
      <x:c r="B56" s="3"/>
      <x:c r="C56" s="3"/>
      <x:c r="D56" s="3"/>
      <x:c r="E56" s="3"/>
      <x:c r="F56" s="3"/>
      <x:c r="G56" s="3"/>
      <x:c r="H56" s="3"/>
    </x:row>
    <x:row r="57" ht="38" customHeight="1">
      <x:c r="A57" s="3"/>
      <x:c r="B57" s="3"/>
      <x:c r="C57" s="3"/>
      <x:c r="D57" s="3"/>
      <x:c r="E57" s="3"/>
      <x:c r="F57" s="3"/>
      <x:c r="G57" s="3"/>
      <x:c r="H57" s="3"/>
    </x:row>
    <x:row r="58" ht="38" customHeight="1">
      <x:c r="A58" s="3"/>
      <x:c r="B58" s="3"/>
      <x:c r="C58" s="3"/>
      <x:c r="D58" s="3"/>
      <x:c r="E58" s="3"/>
      <x:c r="F58" s="3"/>
      <x:c r="G58" s="3"/>
      <x:c r="H58" s="3"/>
    </x:row>
    <x:row r="59" ht="38" customHeight="1">
      <x:c r="A59" s="3"/>
      <x:c r="B59" s="3"/>
      <x:c r="C59" s="3"/>
      <x:c r="D59" s="3"/>
      <x:c r="E59" s="3"/>
      <x:c r="F59" s="3"/>
      <x:c r="G59" s="3"/>
      <x:c r="H59" s="3"/>
    </x:row>
    <x:row r="60" ht="38" customHeight="1">
      <x:c r="A60" s="3"/>
      <x:c r="B60" s="3"/>
      <x:c r="C60" s="3"/>
      <x:c r="D60" s="3"/>
      <x:c r="E60" s="3"/>
      <x:c r="F60" s="3"/>
      <x:c r="G60" s="3"/>
      <x:c r="H60" s="3"/>
    </x:row>
    <x:row r="61" ht="38" customHeight="1">
      <x:c r="A61" s="3"/>
      <x:c r="B61" s="3"/>
      <x:c r="C61" s="3"/>
      <x:c r="D61" s="3"/>
      <x:c r="E61" s="3"/>
      <x:c r="F61" s="3"/>
      <x:c r="G61" s="3"/>
      <x:c r="H61" s="3"/>
    </x:row>
    <x:row r="62" ht="38" customHeight="1">
      <x:c r="A62" s="3"/>
      <x:c r="B62" s="3"/>
      <x:c r="C62" s="3"/>
      <x:c r="D62" s="3"/>
      <x:c r="E62" s="3"/>
      <x:c r="F62" s="3"/>
      <x:c r="G62" s="3"/>
      <x:c r="H62" s="3"/>
    </x:row>
    <x:row r="63" ht="38" customHeight="1">
      <x:c r="A63" s="3"/>
      <x:c r="B63" s="3"/>
      <x:c r="C63" s="3"/>
      <x:c r="D63" s="3"/>
      <x:c r="E63" s="3"/>
      <x:c r="F63" s="3"/>
      <x:c r="G63" s="3"/>
      <x:c r="H63" s="3"/>
    </x:row>
    <x:row r="64" ht="38" customHeight="1">
      <x:c r="A64" s="3"/>
      <x:c r="B64" s="3"/>
      <x:c r="C64" s="3"/>
      <x:c r="D64" s="3"/>
      <x:c r="E64" s="3"/>
      <x:c r="F64" s="3"/>
      <x:c r="G64" s="3"/>
      <x:c r="H64" s="3"/>
    </x:row>
    <x:row r="65" ht="38" customHeight="1">
      <x:c r="A65" s="3"/>
      <x:c r="B65" s="3"/>
      <x:c r="C65" s="3"/>
      <x:c r="D65" s="3"/>
      <x:c r="E65" s="3"/>
      <x:c r="F65" s="3"/>
      <x:c r="G65" s="3"/>
      <x:c r="H65" s="3"/>
    </x:row>
    <x:row r="66" ht="38" customHeight="1">
      <x:c r="A66" s="3"/>
      <x:c r="B66" s="3"/>
      <x:c r="C66" s="3"/>
      <x:c r="D66" s="3"/>
      <x:c r="E66" s="3"/>
      <x:c r="F66" s="3"/>
      <x:c r="G66" s="3"/>
      <x:c r="H66" s="3"/>
    </x:row>
    <x:row r="67" ht="38" customHeight="1">
      <x:c r="A67" s="3"/>
      <x:c r="B67" s="3"/>
      <x:c r="C67" s="3"/>
      <x:c r="D67" s="3"/>
      <x:c r="E67" s="3"/>
      <x:c r="F67" s="3"/>
      <x:c r="G67" s="3"/>
      <x:c r="H67" s="3"/>
    </x:row>
    <x:row r="68" ht="38" customHeight="1">
      <x:c r="A68" s="3"/>
      <x:c r="B68" s="3"/>
      <x:c r="C68" s="3"/>
      <x:c r="D68" s="3"/>
      <x:c r="E68" s="3"/>
      <x:c r="F68" s="3"/>
      <x:c r="G68" s="3"/>
      <x:c r="H68" s="3"/>
    </x:row>
    <x:row r="69" ht="38" customHeight="1">
      <x:c r="A69" s="3"/>
      <x:c r="B69" s="3"/>
      <x:c r="C69" s="3"/>
      <x:c r="D69" s="3"/>
      <x:c r="E69" s="3"/>
      <x:c r="F69" s="3"/>
      <x:c r="G69" s="3"/>
      <x:c r="H69" s="3"/>
    </x:row>
    <x:row r="70" ht="38" customHeight="1">
      <x:c r="A70" s="3"/>
      <x:c r="B70" s="3"/>
      <x:c r="C70" s="3"/>
      <x:c r="D70" s="3"/>
      <x:c r="E70" s="3"/>
      <x:c r="F70" s="3"/>
      <x:c r="G70" s="3"/>
      <x:c r="H70" s="3"/>
    </x:row>
  </x:sheetData>
  <x:mergeCells>
    <x:mergeCell ref="A1:H1"/>
    <x:mergeCell ref="A2:H2"/>
    <x:mergeCell ref="A35:H36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7" hidden="0" customWidth="1"/>
    <x:col min="2" max="2" width="24" hidden="0" customWidth="1"/>
    <x:col min="3" max="3" width="15" hidden="0" customWidth="1"/>
    <x:col min="4" max="4" width="98" hidden="0" customWidth="1"/>
  </x:cols>
  <x:sheetData>
    <x:row r="1" ht="38" customHeight="1">
      <x:c r="A1" s="5" t="str">
        <x:v>寸法・ばね計算　青文字は入力</x:v>
      </x:c>
      <x:c r="B1" s="5"/>
      <x:c r="C1" s="5"/>
      <x:c r="D1" s="5"/>
    </x:row>
    <x:row r="2" ht="38" customHeight="1">
      <x:c r="A2" s="6" t="str">
        <x:v>Rev B-1　2026-10-24　製作承認：保留／原図指定と追加案を区別</x:v>
      </x:c>
      <x:c r="B2" s="6"/>
      <x:c r="C2" s="6"/>
      <x:c r="D2" s="6"/>
    </x:row>
    <x:row r="3" ht="38" customHeight="1">
      <x:c r="A3" s="3"/>
      <x:c r="B3" s="3"/>
      <x:c r="C3" s="3"/>
      <x:c r="D3" s="3"/>
    </x:row>
    <x:row r="4" ht="38" customHeight="1">
      <x:c r="A4" s="9" t="str">
        <x:v>入力</x:v>
      </x:c>
      <x:c r="B4" s="9" t="str">
        <x:v>値</x:v>
      </x:c>
      <x:c r="C4" s="9" t="str">
        <x:v>単位</x:v>
      </x:c>
      <x:c r="D4" s="9" t="str">
        <x:v>根拠</x:v>
      </x:c>
    </x:row>
    <x:row r="5" ht="38" customHeight="1">
      <x:c r="A5" s="10" t="str">
        <x:v>ケース高さ</x:v>
      </x:c>
      <x:c r="B5" s="12" t="n">
        <x:v>100</x:v>
      </x:c>
      <x:c r="C5" s="10" t="str">
        <x:v>mm</x:v>
      </x:c>
      <x:c r="D5" s="10" t="str">
        <x:v>Rev B</x:v>
      </x:c>
    </x:row>
    <x:row r="6" ht="38" customHeight="1">
      <x:c r="A6" s="10" t="str">
        <x:v>ケース長</x:v>
      </x:c>
      <x:c r="B6" s="12" t="n">
        <x:v>205</x:v>
      </x:c>
      <x:c r="C6" s="10" t="str">
        <x:v>mm</x:v>
      </x:c>
      <x:c r="D6" s="10" t="str">
        <x:v>Rev B</x:v>
      </x:c>
    </x:row>
    <x:row r="7" ht="38" customHeight="1">
      <x:c r="A7" s="10" t="str">
        <x:v>勾配</x:v>
      </x:c>
      <x:c r="B7" s="12" t="n">
        <x:v>26</x:v>
      </x:c>
      <x:c r="C7" s="10" t="str">
        <x:v>deg</x:v>
      </x:c>
      <x:c r="D7" s="10" t="str">
        <x:v>Rev B</x:v>
      </x:c>
    </x:row>
    <x:row r="8" ht="38" customHeight="1">
      <x:c r="A8" s="10" t="str">
        <x:v>通路幅モデル</x:v>
      </x:c>
      <x:c r="B8" s="12" t="n">
        <x:v>30</x:v>
      </x:c>
      <x:c r="C8" s="10" t="str">
        <x:v>mm</x:v>
      </x:c>
      <x:c r="D8" s="10" t="str">
        <x:v>内幅と外幅は現物照合</x:v>
      </x:c>
    </x:row>
    <x:row r="9" ht="38" customHeight="1">
      <x:c r="A9" s="10" t="str">
        <x:v>ゲート幅</x:v>
      </x:c>
      <x:c r="B9" s="12" t="n">
        <x:v>40</x:v>
      </x:c>
      <x:c r="C9" s="10" t="str">
        <x:v>mm</x:v>
      </x:c>
      <x:c r="D9" s="10" t="str">
        <x:v>Rev B</x:v>
      </x:c>
    </x:row>
    <x:row r="10" ht="38" customHeight="1">
      <x:c r="A10" s="10" t="str">
        <x:v>ゲート高さ</x:v>
      </x:c>
      <x:c r="B10" s="12" t="n">
        <x:v>110</x:v>
      </x:c>
      <x:c r="C10" s="10" t="str">
        <x:v>mm</x:v>
      </x:c>
      <x:c r="D10" s="10" t="str">
        <x:v>Rev B</x:v>
      </x:c>
    </x:row>
    <x:row r="11" ht="38" customHeight="1">
      <x:c r="A11" s="10" t="str">
        <x:v>ゲート厚</x:v>
      </x:c>
      <x:c r="B11" s="12" t="n">
        <x:v>3</x:v>
      </x:c>
      <x:c r="C11" s="10" t="str">
        <x:v>mm</x:v>
      </x:c>
      <x:c r="D11" s="10" t="str">
        <x:v>実測必要</x:v>
      </x:c>
    </x:row>
    <x:row r="12" ht="38" customHeight="1">
      <x:c r="A12" s="10" t="str">
        <x:v>横ストローク</x:v>
      </x:c>
      <x:c r="B12" s="12" t="n">
        <x:v>36</x:v>
      </x:c>
      <x:c r="C12" s="10" t="str">
        <x:v>mm</x:v>
      </x:c>
      <x:c r="D12" s="10" t="str">
        <x:v>Rev B</x:v>
      </x:c>
    </x:row>
    <x:row r="13" ht="38" customHeight="1">
      <x:c r="A13" s="10" t="str">
        <x:v>有効押込み</x:v>
      </x:c>
      <x:c r="B13" s="12" t="n">
        <x:v>26</x:v>
      </x:c>
      <x:c r="C13" s="10" t="str">
        <x:v>mm</x:v>
      </x:c>
      <x:c r="D13" s="10" t="str">
        <x:v>Rev B</x:v>
      </x:c>
    </x:row>
    <x:row r="14" ht="38" customHeight="1">
      <x:c r="A14" s="10" t="str">
        <x:v>溝幅</x:v>
      </x:c>
      <x:c r="B14" s="12" t="n">
        <x:v>3.9</x:v>
      </x:c>
      <x:c r="C14" s="10" t="str">
        <x:v>mm</x:v>
      </x:c>
      <x:c r="D14" s="10" t="str">
        <x:v>Rev B</x:v>
      </x:c>
    </x:row>
    <x:row r="15" ht="38" customHeight="1">
      <x:c r="A15" s="10" t="str">
        <x:v>テープ片面総厚</x:v>
      </x:c>
      <x:c r="B15" s="12" t="n">
        <x:v>0.23</x:v>
      </x:c>
      <x:c r="C15" s="10" t="str">
        <x:v>mm</x:v>
      </x:c>
      <x:c r="D15" s="10" t="str">
        <x:v>0.2から変更、No.903UL</x:v>
      </x:c>
    </x:row>
    <x:row r="16" ht="38" customHeight="1">
      <x:c r="A16" s="10" t="str">
        <x:v>強ばね自由長</x:v>
      </x:c>
      <x:c r="B16" s="12" t="n">
        <x:v>50</x:v>
      </x:c>
      <x:c r="C16" s="10" t="str">
        <x:v>mm</x:v>
      </x:c>
      <x:c r="D16" s="10" t="str">
        <x:v>61084494</x:v>
      </x:c>
    </x:row>
    <x:row r="17" ht="38" customHeight="1">
      <x:c r="A17" s="10" t="str">
        <x:v>弱ばね自由長</x:v>
      </x:c>
      <x:c r="B17" s="12" t="n">
        <x:v>35</x:v>
      </x:c>
      <x:c r="C17" s="10" t="str">
        <x:v>mm</x:v>
      </x:c>
      <x:c r="D17" s="10" t="str">
        <x:v>61084476</x:v>
      </x:c>
    </x:row>
    <x:row r="18" ht="38" customHeight="1">
      <x:c r="A18" s="10" t="str">
        <x:v>閉止穴間距離</x:v>
      </x:c>
      <x:c r="B18" s="12" t="n">
        <x:v>55</x:v>
      </x:c>
      <x:c r="C18" s="10" t="str">
        <x:v>mm</x:v>
      </x:c>
      <x:c r="D18" s="10" t="str">
        <x:v>Rev B</x:v>
      </x:c>
    </x:row>
    <x:row r="19" ht="38" customHeight="1">
      <x:c r="A19" s="10" t="str">
        <x:v>ストローク公差</x:v>
      </x:c>
      <x:c r="B19" s="12" t="n">
        <x:v>0.2</x:v>
      </x:c>
      <x:c r="C19" s="10" t="str">
        <x:v>mm</x:v>
      </x:c>
      <x:c r="D19" s="10" t="str">
        <x:v>仮定</x:v>
      </x:c>
    </x:row>
    <x:row r="20" ht="38" customHeight="1">
      <x:c r="A20" s="10" t="str">
        <x:v>ゲート幅公差</x:v>
      </x:c>
      <x:c r="B20" s="12" t="n">
        <x:v>0.2</x:v>
      </x:c>
      <x:c r="C20" s="10" t="str">
        <x:v>mm</x:v>
      </x:c>
      <x:c r="D20" s="10" t="str">
        <x:v>仮定</x:v>
      </x:c>
    </x:row>
    <x:row r="21" ht="38" customHeight="1">
      <x:c r="A21" s="10" t="str">
        <x:v>通路幅公差</x:v>
      </x:c>
      <x:c r="B21" s="12" t="n">
        <x:v>0.5</x:v>
      </x:c>
      <x:c r="C21" s="10" t="str">
        <x:v>mm</x:v>
      </x:c>
      <x:c r="D21" s="10" t="str">
        <x:v>原図外幅公差を幅モデルへ適用</x:v>
      </x:c>
    </x:row>
    <x:row r="22" ht="38" customHeight="1">
      <x:c r="A22" s="10" t="str">
        <x:v>横位置誤差加算</x:v>
      </x:c>
      <x:c r="B22" s="12"/>
      <x:c r="C22" s="10" t="str">
        <x:v>mm</x:v>
      </x:c>
      <x:c r="D22" s="10" t="str">
        <x:v>未入力は未判定</x:v>
      </x:c>
    </x:row>
    <x:row r="23" ht="38" customHeight="1">
      <x:c r="A23" s="10" t="str">
        <x:v>箱内長</x:v>
      </x:c>
      <x:c r="B23" s="12" t="n">
        <x:v>250</x:v>
      </x:c>
      <x:c r="C23" s="10" t="str">
        <x:v>mm</x:v>
      </x:c>
      <x:c r="D23" s="10" t="str">
        <x:v>案</x:v>
      </x:c>
    </x:row>
    <x:row r="24" ht="38" customHeight="1">
      <x:c r="A24" s="10" t="str">
        <x:v>箱内幅</x:v>
      </x:c>
      <x:c r="B24" s="12" t="n">
        <x:v>80</x:v>
      </x:c>
      <x:c r="C24" s="10" t="str">
        <x:v>mm</x:v>
      </x:c>
      <x:c r="D24" s="10" t="str">
        <x:v>案</x:v>
      </x:c>
    </x:row>
    <x:row r="25" ht="38" customHeight="1">
      <x:c r="A25" s="10" t="str">
        <x:v>箱内深</x:v>
      </x:c>
      <x:c r="B25" s="12" t="n">
        <x:v>200</x:v>
      </x:c>
      <x:c r="C25" s="10" t="str">
        <x:v>mm</x:v>
      </x:c>
      <x:c r="D25" s="10" t="str">
        <x:v>案</x:v>
      </x:c>
    </x:row>
    <x:row r="26" ht="38" customHeight="1">
      <x:c r="A26" s="10" t="str">
        <x:v>強ばねk</x:v>
      </x:c>
      <x:c r="B26" s="12" t="n">
        <x:v>0.44</x:v>
      </x:c>
      <x:c r="C26" s="10" t="str">
        <x:v>N/mm</x:v>
      </x:c>
      <x:c r="D26" s="10" t="str">
        <x:v>MonotaRO</x:v>
      </x:c>
    </x:row>
    <x:row r="27" ht="38" customHeight="1">
      <x:c r="A27" s="10" t="str">
        <x:v>強ばね初張力</x:v>
      </x:c>
      <x:c r="B27" s="12" t="n">
        <x:v>2.5</x:v>
      </x:c>
      <x:c r="C27" s="10" t="str">
        <x:v>N</x:v>
      </x:c>
      <x:c r="D27" s="10" t="str">
        <x:v>MonotaRO</x:v>
      </x:c>
    </x:row>
    <x:row r="28" ht="38" customHeight="1">
      <x:c r="A28" s="10" t="str">
        <x:v>強ばね許容荷重</x:v>
      </x:c>
      <x:c r="B28" s="12" t="n">
        <x:v>31</x:v>
      </x:c>
      <x:c r="C28" s="10" t="str">
        <x:v>N</x:v>
      </x:c>
      <x:c r="D28" s="10" t="str">
        <x:v>MonotaRO</x:v>
      </x:c>
    </x:row>
    <x:row r="29" ht="38" customHeight="1">
      <x:c r="A29" s="10" t="str">
        <x:v>弱ばねk</x:v>
      </x:c>
      <x:c r="B29" s="12" t="n">
        <x:v>0.09</x:v>
      </x:c>
      <x:c r="C29" s="10" t="str">
        <x:v>N/mm</x:v>
      </x:c>
      <x:c r="D29" s="10" t="str">
        <x:v>MonotaRO</x:v>
      </x:c>
    </x:row>
    <x:row r="30" ht="38" customHeight="1">
      <x:c r="A30" s="10" t="str">
        <x:v>弱ばね初張力</x:v>
      </x:c>
      <x:c r="B30" s="12" t="n">
        <x:v>0.5</x:v>
      </x:c>
      <x:c r="C30" s="10" t="str">
        <x:v>N</x:v>
      </x:c>
      <x:c r="D30" s="10" t="str">
        <x:v>MonotaRO</x:v>
      </x:c>
    </x:row>
    <x:row r="31" ht="38" customHeight="1">
      <x:c r="A31" s="10" t="str">
        <x:v>弱ばね許容荷重</x:v>
      </x:c>
      <x:c r="B31" s="12" t="n">
        <x:v>8</x:v>
      </x:c>
      <x:c r="C31" s="10" t="str">
        <x:v>N</x:v>
      </x:c>
      <x:c r="D31" s="10" t="str">
        <x:v>MonotaRO</x:v>
      </x:c>
    </x:row>
    <x:row r="32" ht="38" customHeight="1">
      <x:c r="A32" s="10" t="str">
        <x:v>5枚の実測束厚</x:v>
      </x:c>
      <x:c r="B32" s="12"/>
      <x:c r="C32" s="10" t="str">
        <x:v>mm</x:v>
      </x:c>
      <x:c r="D32" s="10" t="str">
        <x:v>反り・重なりも測定</x:v>
      </x:c>
    </x:row>
    <x:row r="33" ht="38" customHeight="1">
      <x:c r="A33" s="10" t="str">
        <x:v>実測最大戻し抵抗</x:v>
      </x:c>
      <x:c r="B33" s="12"/>
      <x:c r="C33" s="10" t="str">
        <x:v>N</x:v>
      </x:c>
      <x:c r="D33" s="10" t="str">
        <x:v>ケース荷重を含む全域の抵抗</x:v>
      </x:c>
    </x:row>
    <x:row r="34" ht="38" customHeight="1">
      <x:c r="A34" s="10" t="str">
        <x:v>切断代</x:v>
      </x:c>
      <x:c r="B34" s="12" t="n">
        <x:v>2</x:v>
      </x:c>
      <x:c r="C34" s="10" t="str">
        <x:v>mm/切断</x:v>
      </x:c>
      <x:c r="D34" s="10" t="str">
        <x:v>刃幅確認</x:v>
      </x:c>
    </x:row>
    <x:row r="35" ht="38" customHeight="1">
      <x:c r="A35" s="9" t="str">
        <x:v>算出項目</x:v>
      </x:c>
      <x:c r="B35" s="9" t="str">
        <x:v>計算結果</x:v>
      </x:c>
      <x:c r="C35" s="9" t="str">
        <x:v>単位</x:v>
      </x:c>
      <x:c r="D35" s="9" t="str">
        <x:v>判定範囲</x:v>
      </x:c>
    </x:row>
    <x:row r="36" ht="38" customHeight="1">
      <x:c r="A36" s="10" t="str">
        <x:v>公称開放余裕</x:v>
      </x:c>
      <x:c r="B36" s="13" t="n">
        <x:f>B12-B9/2-B8/2</x:f>
        <x:v>1</x:v>
      </x:c>
      <x:c r="C36" s="10" t="str">
        <x:v>mm</x:v>
      </x:c>
      <x:c r="D36" s="10" t="str">
        <x:v>横方向のみ</x:v>
      </x:c>
    </x:row>
    <x:row r="37" ht="38" customHeight="1">
      <x:c r="A37" s="10" t="str">
        <x:v>公差込み余裕</x:v>
      </x:c>
      <x:c r="B37" s="13" t="n">
        <x:f>B12-B19-(B9+B20)/2-(B8+B21)/2</x:f>
        <x:v>0.44999999999999574</x:v>
      </x:c>
      <x:c r="C37" s="10" t="str">
        <x:v>mm</x:v>
      </x:c>
      <x:c r="D37" s="10" t="str">
        <x:v>位置・傾き・反りを除く</x:v>
      </x:c>
    </x:row>
    <x:row r="38" ht="38" customHeight="1">
      <x:c r="A38" s="10" t="str">
        <x:v>実用余裕</x:v>
      </x:c>
      <x:c r="B38" s="13" t="str">
        <x:f>IF(B22="","未判定",B37-B22)</x:f>
        <x:v>未判定</x:v>
      </x:c>
      <x:c r="C38" s="10" t="str">
        <x:v>mm</x:v>
      </x:c>
      <x:c r="D38" s="10" t="str">
        <x:v>横位置誤差未入力は未判定</x:v>
      </x:c>
    </x:row>
    <x:row r="39" ht="38" customHeight="1">
      <x:c r="A39" s="10" t="str">
        <x:v>総遊び</x:v>
      </x:c>
      <x:c r="B39" s="13" t="n">
        <x:f>B14-B11-2*B15</x:f>
        <x:v>0.4399999999999999</x:v>
      </x:c>
      <x:c r="C39" s="10" t="str">
        <x:v>mm</x:v>
      </x:c>
      <x:c r="D39" s="10" t="str">
        <x:v>実測0.3～0.6へ</x:v>
      </x:c>
    </x:row>
    <x:row r="40" ht="38" customHeight="1">
      <x:c r="A40" s="10" t="str">
        <x:v>ケース水平投影</x:v>
      </x:c>
      <x:c r="B40" s="13" t="n">
        <x:f>B6*COS(RADIANS(B7))+B5*SIN(RADIANS(B7))</x:f>
        <x:v>228.089894170237</x:v>
      </x:c>
      <x:c r="C40" s="10" t="str">
        <x:v>mm</x:v>
      </x:c>
      <x:c r="D40" s="10" t="str">
        <x:v>剛体固定姿勢</x:v>
      </x:c>
    </x:row>
    <x:row r="41" ht="38" customHeight="1">
      <x:c r="A41" s="10" t="str">
        <x:v>ケース鉛直投影</x:v>
      </x:c>
      <x:c r="B41" s="13" t="n">
        <x:f>B6*SIN(RADIANS(B7))+B5*COS(RADIANS(B7))</x:f>
        <x:v>179.7454897216776</x:v>
      </x:c>
      <x:c r="C41" s="10" t="str">
        <x:v>mm</x:v>
      </x:c>
      <x:c r="D41" s="10" t="str">
        <x:v>姿勢変化を含まない</x:v>
      </x:c>
    </x:row>
    <x:row r="42" ht="38" customHeight="1">
      <x:c r="A42" s="10" t="str">
        <x:v>箱長余裕</x:v>
      </x:c>
      <x:c r="B42" s="13" t="n">
        <x:f>B23-B40</x:f>
        <x:v>21.910105829763012</x:v>
      </x:c>
      <x:c r="C42" s="10" t="str">
        <x:v>mm</x:v>
      </x:c>
      <x:c r="D42" s="10" t="str">
        <x:v>箱内長との差</x:v>
      </x:c>
    </x:row>
    <x:row r="43" ht="38" customHeight="1">
      <x:c r="A43" s="10" t="str">
        <x:v>箱深余裕</x:v>
      </x:c>
      <x:c r="B43" s="13" t="n">
        <x:f>B25-B41</x:f>
        <x:v>20.254510278322414</x:v>
      </x:c>
      <x:c r="C43" s="10" t="str">
        <x:v>mm</x:v>
      </x:c>
      <x:c r="D43" s="10" t="str">
        <x:v>箱内深との差</x:v>
      </x:c>
    </x:row>
    <x:row r="44" ht="38" customHeight="1">
      <x:c r="A44" s="10" t="str">
        <x:v>束厚の箱幅余裕</x:v>
      </x:c>
      <x:c r="B44" s="13" t="str">
        <x:f>IF(B32="","未判定",B24-B32)</x:f>
        <x:v>未判定</x:v>
      </x:c>
      <x:c r="C44" s="10" t="str">
        <x:v>mm</x:v>
      </x:c>
      <x:c r="D44" s="10" t="str">
        <x:v>ダクト束厚通過は別検証</x:v>
      </x:c>
    </x:row>
    <x:row r="45" ht="38" customHeight="1">
      <x:c r="A45" s="10" t="str">
        <x:v>カム角</x:v>
      </x:c>
      <x:c r="B45" s="13" t="n">
        <x:f>DEGREES(ATAN(B12/B13))</x:f>
        <x:v>54.16234704572172</x:v>
      </x:c>
      <x:c r="C45" s="10" t="str">
        <x:v>deg</x:v>
      </x:c>
      <x:c r="D45" s="10" t="str">
        <x:v>理想点接触</x:v>
      </x:c>
    </x:row>
    <x:row r="46" ht="38" customHeight="1">
      <x:c r="A46" s="10" t="str">
        <x:v>カム有効接触線</x:v>
      </x:c>
      <x:c r="B46" s="13" t="n">
        <x:f>SQRT(B12^2+B13^2)</x:f>
        <x:v>44.40720662234904</x:v>
      </x:c>
      <x:c r="C46" s="10" t="str">
        <x:v>mm</x:v>
      </x:c>
      <x:c r="D46" s="10" t="str">
        <x:v>理想点接触</x:v>
      </x:c>
    </x:row>
    <x:row r="47" ht="38" customHeight="1">
      <x:c r="A47" s="10" t="str">
        <x:v>全開穴間距離</x:v>
      </x:c>
      <x:c r="B47" s="13" t="n">
        <x:f>B18+B12</x:f>
        <x:v>91</x:v>
      </x:c>
      <x:c r="C47" s="10" t="str">
        <x:v>mm</x:v>
      </x:c>
      <x:c r="D47" s="10" t="str">
        <x:v>フック基準は確認必要</x:v>
      </x:c>
    </x:row>
    <x:row r="48" ht="38" customHeight="1">
      <x:c r="A48" s="10" t="str">
        <x:v>強ばね閉止伸び</x:v>
      </x:c>
      <x:c r="B48" s="13" t="n">
        <x:f>B18-B16</x:f>
        <x:v>5</x:v>
      </x:c>
      <x:c r="C48" s="10" t="str">
        <x:v>mm</x:v>
      </x:c>
      <x:c r="D48" s="10" t="str">
        <x:v>静的線形モデル</x:v>
      </x:c>
    </x:row>
    <x:row r="49" ht="38" customHeight="1">
      <x:c r="A49" s="10" t="str">
        <x:v>強ばね全開伸び</x:v>
      </x:c>
      <x:c r="B49" s="13" t="n">
        <x:f>B47-B16</x:f>
        <x:v>41</x:v>
      </x:c>
      <x:c r="C49" s="10" t="str">
        <x:v>mm</x:v>
      </x:c>
      <x:c r="D49" s="10" t="str">
        <x:v>静的線形モデル</x:v>
      </x:c>
    </x:row>
    <x:row r="50" ht="38" customHeight="1">
      <x:c r="A50" s="10" t="str">
        <x:v>強ばね閉止力</x:v>
      </x:c>
      <x:c r="B50" s="13" t="n">
        <x:f>B27+B26*B48</x:f>
        <x:v>4.7</x:v>
      </x:c>
      <x:c r="C50" s="10" t="str">
        <x:v>N</x:v>
      </x:c>
      <x:c r="D50" s="10" t="str">
        <x:v>最小復帰力の計算値</x:v>
      </x:c>
    </x:row>
    <x:row r="51" ht="38" customHeight="1">
      <x:c r="A51" s="10" t="str">
        <x:v>強ばね全開力</x:v>
      </x:c>
      <x:c r="B51" s="13" t="n">
        <x:f>B27+B26*B49</x:f>
        <x:v>20.54</x:v>
      </x:c>
      <x:c r="C51" s="10" t="str">
        <x:v>N</x:v>
      </x:c>
      <x:c r="D51" s="10" t="str">
        <x:v>掲載許容荷重と比較</x:v>
      </x:c>
    </x:row>
    <x:row r="52" ht="38" customHeight="1">
      <x:c r="A52" s="10" t="str">
        <x:v>強ばね荷重余裕</x:v>
      </x:c>
      <x:c r="B52" s="13" t="n">
        <x:f>B28-B51</x:f>
        <x:v>10.46</x:v>
      </x:c>
      <x:c r="C52" s="10" t="str">
        <x:v>N</x:v>
      </x:c>
      <x:c r="D52" s="10" t="str">
        <x:v>寿命・フック承認ではない</x:v>
      </x:c>
    </x:row>
    <x:row r="53" ht="38" customHeight="1">
      <x:c r="A53" s="10" t="str">
        <x:v>弱ばね閉止伸び</x:v>
      </x:c>
      <x:c r="B53" s="13" t="n">
        <x:f>B18-B17</x:f>
        <x:v>20</x:v>
      </x:c>
      <x:c r="C53" s="10" t="str">
        <x:v>mm</x:v>
      </x:c>
      <x:c r="D53" s="10" t="str">
        <x:v>静的線形モデル</x:v>
      </x:c>
    </x:row>
    <x:row r="54" ht="38" customHeight="1">
      <x:c r="A54" s="10" t="str">
        <x:v>弱ばね全開伸び</x:v>
      </x:c>
      <x:c r="B54" s="13" t="n">
        <x:f>B47-B17</x:f>
        <x:v>56</x:v>
      </x:c>
      <x:c r="C54" s="10" t="str">
        <x:v>mm</x:v>
      </x:c>
      <x:c r="D54" s="10" t="str">
        <x:v>静的線形モデル</x:v>
      </x:c>
    </x:row>
    <x:row r="55" ht="38" customHeight="1">
      <x:c r="A55" s="10" t="str">
        <x:v>弱ばね閉止力</x:v>
      </x:c>
      <x:c r="B55" s="13" t="n">
        <x:f>B30+B29*B53</x:f>
        <x:v>2.3</x:v>
      </x:c>
      <x:c r="C55" s="10" t="str">
        <x:v>N</x:v>
      </x:c>
      <x:c r="D55" s="10" t="str">
        <x:v>静的線形モデル</x:v>
      </x:c>
    </x:row>
    <x:row r="56" ht="38" customHeight="1">
      <x:c r="A56" s="10" t="str">
        <x:v>弱ばね全開力</x:v>
      </x:c>
      <x:c r="B56" s="13" t="n">
        <x:f>B30+B29*B54</x:f>
        <x:v>5.54</x:v>
      </x:c>
      <x:c r="C56" s="10" t="str">
        <x:v>N</x:v>
      </x:c>
      <x:c r="D56" s="10" t="str">
        <x:v>掲載許容荷重と比較</x:v>
      </x:c>
    </x:row>
    <x:row r="57" ht="38" customHeight="1">
      <x:c r="A57" s="10" t="str">
        <x:v>弱ばね荷重余裕</x:v>
      </x:c>
      <x:c r="B57" s="13" t="n">
        <x:f>B31-B56</x:f>
        <x:v>2.46</x:v>
      </x:c>
      <x:c r="C57" s="10" t="str">
        <x:v>N</x:v>
      </x:c>
      <x:c r="D57" s="10" t="str">
        <x:v>許容全長は別途確認</x:v>
      </x:c>
    </x:row>
    <x:row r="58" ht="38" customHeight="1">
      <x:c r="A58" s="10" t="str">
        <x:v>強ばね復帰力差</x:v>
      </x:c>
      <x:c r="B58" s="13" t="str">
        <x:f>IF(B33="","未判定",B50-B33)</x:f>
        <x:v>未判定</x:v>
      </x:c>
      <x:c r="C58" s="10" t="str">
        <x:v>N</x:v>
      </x:c>
      <x:c r="D58" s="10" t="str">
        <x:v>正でも動的復帰は別試験</x:v>
      </x:c>
    </x:row>
    <x:row r="59" ht="38" customHeight="1">
      <x:c r="A59" s="10" t="str">
        <x:v>理想押込み力</x:v>
      </x:c>
      <x:c r="B59" s="13" t="n">
        <x:f>B51*B12/B13</x:f>
        <x:v>28.439999999999998</x:v>
      </x:c>
      <x:c r="C59" s="10" t="str">
        <x:v>N</x:v>
      </x:c>
      <x:c r="D59" s="10" t="str">
        <x:v>摩擦・衝撃を除く理想モデル</x:v>
      </x:c>
    </x:row>
    <x:row r="60" ht="38" customHeight="1">
      <x:c r="A60" s="10" t="str">
        <x:v>角A使用長</x:v>
      </x:c>
      <x:c r="B60" s="13" t="n">
        <x:f>290+4*B34</x:f>
        <x:v>298</x:v>
      </x:c>
      <x:c r="C60" s="10" t="str">
        <x:v>mm</x:v>
      </x:c>
      <x:c r="D60" s="10" t="str">
        <x:v>300以下を切断前に確認</x:v>
      </x:c>
    </x:row>
    <x:row r="61" ht="38" customHeight="1">
      <x:c r="A61" s="10" t="str">
        <x:v>角B使用長</x:v>
      </x:c>
      <x:c r="B61" s="13" t="n">
        <x:f>280+7*B34</x:f>
        <x:v>294</x:v>
      </x:c>
      <x:c r="C61" s="10" t="str">
        <x:v>mm</x:v>
      </x:c>
      <x:c r="D61" s="10" t="str">
        <x:v>300以下を切断前に確認</x:v>
      </x:c>
    </x:row>
    <x:row r="62" ht="38" customHeight="1">
      <x:c r="A62" s="10" t="str">
        <x:v>図と入力の整合</x:v>
      </x:c>
      <x:c r="B62" s="10" t="str">
        <x:f>IF(AND(B5=100,B6=205,B7=26,B8=30,B9=40,B10=110,B11=3,B12=36,B13=26,B14=3.9,B15=0.23,B18=55),"固定図と一致","図・HTMLを再改訂")</x:f>
        <x:v>固定図と一致</x:v>
      </x:c>
      <x:c r="C62" s="10" t="str"/>
      <x:c r="D62" s="10" t="str">
        <x:v>図は自動更新されない</x:v>
      </x:c>
    </x:row>
    <x:row r="63" ht="38" customHeight="1">
      <x:c r="A63" s="3"/>
      <x:c r="B63" s="3"/>
      <x:c r="C63" s="3"/>
      <x:c r="D63" s="3"/>
    </x:row>
    <x:row r="64" ht="38" customHeight="1">
      <x:c r="A64" s="3" t="str">
        <x:v>ばね仕様出典（2026-10-24）：https://www.monotaro.com/p/6108/4494/ ／ https://www.monotaro.com/p/6108/4476/</x:v>
      </x:c>
      <x:c r="B64" s="3"/>
      <x:c r="C64" s="3"/>
      <x:c r="D64" s="3"/>
    </x:row>
    <x:row r="65" ht="38" customHeight="1">
      <x:c r="A65" s="3"/>
      <x:c r="B65" s="3"/>
      <x:c r="C65" s="3"/>
      <x:c r="D65" s="3"/>
    </x:row>
    <x:row r="66" ht="38" customHeight="1">
      <x:c r="A66" s="3"/>
      <x:c r="B66" s="3"/>
      <x:c r="C66" s="3"/>
      <x:c r="D66" s="3"/>
    </x:row>
    <x:row r="67" ht="38" customHeight="1">
      <x:c r="A67" s="3"/>
      <x:c r="B67" s="3"/>
      <x:c r="C67" s="3"/>
      <x:c r="D67" s="3"/>
    </x:row>
    <x:row r="68" ht="38" customHeight="1">
      <x:c r="A68" s="3"/>
      <x:c r="B68" s="3"/>
      <x:c r="C68" s="3"/>
      <x:c r="D68" s="3"/>
    </x:row>
    <x:row r="69" ht="38" customHeight="1">
      <x:c r="A69" s="3"/>
      <x:c r="B69" s="3"/>
      <x:c r="C69" s="3"/>
      <x:c r="D69" s="3"/>
    </x:row>
    <x:row r="70" ht="38" customHeight="1">
      <x:c r="A70" s="3"/>
      <x:c r="B70" s="3"/>
      <x:c r="C70" s="3"/>
      <x:c r="D70" s="3"/>
    </x:row>
  </x:sheetData>
  <x:mergeCells>
    <x:mergeCell ref="A1:D1"/>
    <x:mergeCell ref="A2:D2"/>
    <x:mergeCell ref="A64:D65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5" hidden="0" customWidth="1"/>
    <x:col min="3" max="3" width="53" hidden="0" customWidth="1"/>
    <x:col min="4" max="4" width="49" hidden="0" customWidth="1"/>
    <x:col min="5" max="5" width="23" hidden="0" customWidth="1"/>
    <x:col min="6" max="6" width="33" hidden="0" customWidth="1"/>
    <x:col min="7" max="7" width="27" hidden="0" customWidth="1"/>
    <x:col min="8" max="8" width="27" hidden="0" customWidth="1"/>
  </x:cols>
  <x:sheetData>
    <x:row r="1" ht="38" customHeight="1">
      <x:c r="A1" s="5" t="str">
        <x:v>実機検証表　未入力を承認扱いにしない</x:v>
      </x:c>
      <x:c r="B1" s="5"/>
      <x:c r="C1" s="5"/>
      <x:c r="D1" s="5"/>
      <x:c r="E1" s="5"/>
      <x:c r="F1" s="5"/>
      <x:c r="G1" s="5"/>
      <x:c r="H1" s="5"/>
    </x:row>
    <x:row r="2" ht="38" customHeight="1">
      <x:c r="A2" s="6" t="str">
        <x:v>Rev B-1　2026-10-24　製作承認：保留／原図指定と追加案を区別</x:v>
      </x:c>
      <x:c r="B2" s="6"/>
      <x:c r="C2" s="6"/>
      <x:c r="D2" s="6"/>
      <x:c r="E2" s="6"/>
      <x:c r="F2" s="6"/>
      <x:c r="G2" s="6"/>
      <x:c r="H2" s="6"/>
    </x:row>
    <x:row r="3" ht="38" customHeight="1">
      <x:c r="A3" s="3"/>
      <x:c r="B3" s="3"/>
      <x:c r="C3" s="3"/>
      <x:c r="D3" s="3"/>
      <x:c r="E3" s="3"/>
      <x:c r="F3" s="3"/>
      <x:c r="G3" s="3"/>
      <x:c r="H3" s="3"/>
    </x:row>
    <x:row r="4" ht="38" customHeight="1">
      <x:c r="A4" s="9" t="str">
        <x:v>ID</x:v>
      </x:c>
      <x:c r="B4" s="9" t="str">
        <x:v>対象</x:v>
      </x:c>
      <x:c r="C4" s="9" t="str">
        <x:v>確認条件</x:v>
      </x:c>
      <x:c r="D4" s="9" t="str">
        <x:v>方法・証跡</x:v>
      </x:c>
      <x:c r="E4" s="9" t="str">
        <x:v>状態</x:v>
      </x:c>
      <x:c r="F4" s="9" t="str">
        <x:v>実測・記録</x:v>
      </x:c>
      <x:c r="G4" s="9" t="str">
        <x:v>確認者・日付</x:v>
      </x:c>
      <x:c r="H4" s="9" t="str">
        <x:v>処置</x:v>
      </x:c>
    </x:row>
    <x:row r="5" ht="70" customHeight="1">
      <x:c r="A5" s="10" t="str">
        <x:v>V01</x:v>
      </x:c>
      <x:c r="B5" s="10" t="str">
        <x:v>材料・切断</x:v>
      </x:c>
      <x:c r="C5" s="10" t="str">
        <x:v>平板112以上／角2本各300内</x:v>
      </x:c>
      <x:c r="D5" s="10" t="str">
        <x:v>現物と刃幅</x:v>
      </x:c>
      <x:c r="E5" s="14" t="str">
        <x:v>未実施</x:v>
      </x:c>
      <x:c r="F5" s="14" t="str"/>
      <x:c r="G5" s="14" t="str"/>
      <x:c r="H5" s="14" t="str"/>
    </x:row>
    <x:row r="6" ht="70" customHeight="1">
      <x:c r="A6" s="10" t="str">
        <x:v>V02</x:v>
      </x:c>
      <x:c r="B6" s="10" t="str">
        <x:v>ケースと出口</x:v>
      </x:c>
      <x:c r="C6" s="10" t="str">
        <x:v>内幅と上面開放、20突出を確認</x:v>
      </x:c>
      <x:c r="D6" s="10" t="str">
        <x:v>採寸・写真</x:v>
      </x:c>
      <x:c r="E6" s="14" t="str">
        <x:v>未実施</x:v>
      </x:c>
      <x:c r="F6" s="14" t="str"/>
      <x:c r="G6" s="14" t="str"/>
      <x:c r="H6" s="14" t="str"/>
    </x:row>
    <x:row r="7" ht="70" customHeight="1">
      <x:c r="A7" s="10" t="str">
        <x:v>V03</x:v>
      </x:c>
      <x:c r="B7" s="10" t="str">
        <x:v>ガイド支持</x:v>
      </x:c>
      <x:c r="C7" s="10" t="str">
        <x:v>全36で抱き代・平行・固定成立</x:v>
      </x:c>
      <x:c r="D7" s="10" t="str">
        <x:v>全包絡の仮組確認</x:v>
      </x:c>
      <x:c r="E7" s="14" t="str">
        <x:v>未実施</x:v>
      </x:c>
      <x:c r="F7" s="14" t="str"/>
      <x:c r="G7" s="14" t="str"/>
      <x:c r="H7" s="14" t="str"/>
    </x:row>
    <x:row r="8" ht="70" customHeight="1">
      <x:c r="A8" s="10" t="str">
        <x:v>V04</x:v>
      </x:c>
      <x:c r="B8" s="10" t="str">
        <x:v>遊び</x:v>
      </x:c>
      <x:c r="C8" s="10" t="str">
        <x:v>実厚で0.3～0.6、引掛りなし</x:v>
      </x:c>
      <x:c r="D8" s="10" t="str">
        <x:v>板厚・溝幅実測</x:v>
      </x:c>
      <x:c r="E8" s="14" t="str">
        <x:v>未実施</x:v>
      </x:c>
      <x:c r="F8" s="14" t="str"/>
      <x:c r="G8" s="14" t="str"/>
      <x:c r="H8" s="14" t="str"/>
    </x:row>
    <x:row r="9" ht="70" customHeight="1">
      <x:c r="A9" s="10" t="str">
        <x:v>V05</x:v>
      </x:c>
      <x:c r="B9" s="10" t="str">
        <x:v>開放と閉止</x:v>
      </x:c>
      <x:c r="C9" s="10" t="str">
        <x:v>36±0.2、実余裕正、ケース抜けなし</x:v>
      </x:c>
      <x:c r="D9" s="10" t="str">
        <x:v>位置・反り・ねじ頭を含む</x:v>
      </x:c>
      <x:c r="E9" s="14" t="str">
        <x:v>未実施</x:v>
      </x:c>
      <x:c r="F9" s="14" t="str"/>
      <x:c r="G9" s="14" t="str"/>
      <x:c r="H9" s="14" t="str"/>
    </x:row>
    <x:row r="10" ht="70" customHeight="1">
      <x:c r="A10" s="10" t="str">
        <x:v>V06</x:v>
      </x:c>
      <x:c r="B10" s="10" t="str">
        <x:v>ばね干渉</x:v>
      </x:c>
      <x:c r="C10" s="10" t="str">
        <x:v>ケース・ガイド・フックに接触なし</x:v>
      </x:c>
      <x:c r="D10" s="10" t="str">
        <x:v>外径8とフック実形状</x:v>
      </x:c>
      <x:c r="E10" s="14" t="str">
        <x:v>未実施</x:v>
      </x:c>
      <x:c r="F10" s="14" t="str"/>
      <x:c r="G10" s="14" t="str"/>
      <x:c r="H10" s="14" t="str"/>
    </x:row>
    <x:row r="11" ht="70" customHeight="1">
      <x:c r="A11" s="10" t="str">
        <x:v>V07</x:v>
      </x:c>
      <x:c r="B11" s="10" t="str">
        <x:v>可動掛け</x:v>
      </x:c>
      <x:c r="C11" s="10" t="str">
        <x:v>5mm逃げ・支持強度・隙間正</x:v>
      </x:c>
      <x:c r="D11" s="10" t="str">
        <x:v>実ねじで仮組</x:v>
      </x:c>
      <x:c r="E11" s="14" t="str">
        <x:v>未実施</x:v>
      </x:c>
      <x:c r="F11" s="14" t="str"/>
      <x:c r="G11" s="14" t="str"/>
      <x:c r="H11" s="14" t="str"/>
    </x:row>
    <x:row r="12" ht="70" customHeight="1">
      <x:c r="A12" s="10" t="str">
        <x:v>V08</x:v>
      </x:c>
      <x:c r="B12" s="10" t="str">
        <x:v>ばね静荷重</x:v>
      </x:c>
      <x:c r="C12" s="10" t="str">
        <x:v>強20.54&lt;31／弱5.54&lt;8</x:v>
      </x:c>
      <x:c r="D12" s="10" t="str">
        <x:v>寸法計算・商品仕様</x:v>
      </x:c>
      <x:c r="E12" s="14" t="str">
        <x:v>計算照合のみ</x:v>
      </x:c>
      <x:c r="F12" s="14" t="str"/>
      <x:c r="G12" s="14" t="str"/>
      <x:c r="H12" s="14" t="str"/>
    </x:row>
    <x:row r="13" ht="70" customHeight="1">
      <x:c r="A13" s="10" t="str">
        <x:v>V09</x:v>
      </x:c>
      <x:c r="B13" s="10" t="str">
        <x:v>ばね限界</x:v>
      </x:c>
      <x:c r="C13" s="10" t="str">
        <x:v>許容全長・フック・寿命に適合</x:v>
      </x:c>
      <x:c r="D13" s="10" t="str">
        <x:v>メーカー確認と耐久試験</x:v>
      </x:c>
      <x:c r="E13" s="14" t="str">
        <x:v>未実施</x:v>
      </x:c>
      <x:c r="F13" s="14" t="str"/>
      <x:c r="G13" s="14" t="str"/>
      <x:c r="H13" s="14" t="str"/>
    </x:row>
    <x:row r="14" ht="70" customHeight="1">
      <x:c r="A14" s="10" t="str">
        <x:v>V10</x:v>
      </x:c>
      <x:c r="B14" s="10" t="str">
        <x:v>復帰</x:v>
      </x:c>
      <x:c r="C14" s="10" t="str">
        <x:v>ケース荷重下、全域で閉止へ戻る</x:v>
      </x:c>
      <x:c r="D14" s="10" t="str">
        <x:v>最大戻し抵抗測定・実動作</x:v>
      </x:c>
      <x:c r="E14" s="14" t="str">
        <x:v>未実施</x:v>
      </x:c>
      <x:c r="F14" s="14" t="str"/>
      <x:c r="G14" s="14" t="str"/>
      <x:c r="H14" s="14" t="str"/>
    </x:row>
    <x:row r="15" ht="70" customHeight="1">
      <x:c r="A15" s="10" t="str">
        <x:v>V11</x:v>
      </x:c>
      <x:c r="B15" s="10" t="str">
        <x:v>ねじ</x:v>
      </x:c>
      <x:c r="C15" s="10" t="str">
        <x:v>頭突出なし／ナイロン部有効貫通</x:v>
      </x:c>
      <x:c r="D15" s="10" t="str">
        <x:v>皿深さ・残肉・先端確認</x:v>
      </x:c>
      <x:c r="E15" s="14" t="str">
        <x:v>未実施</x:v>
      </x:c>
      <x:c r="F15" s="14" t="str"/>
      <x:c r="G15" s="14" t="str"/>
      <x:c r="H15" s="14" t="str"/>
    </x:row>
    <x:row r="16" ht="70" customHeight="1">
      <x:c r="A16" s="10" t="str">
        <x:v>V12</x:v>
      </x:c>
      <x:c r="B16" s="10" t="str">
        <x:v>カムと過走</x:v>
      </x:c>
      <x:c r="C16" s="10" t="str">
        <x:v>26→36、R2、保持・逃げ成立</x:v>
      </x:c>
      <x:c r="D16" s="10" t="str">
        <x:v>独立停止と低速接近試験</x:v>
      </x:c>
      <x:c r="E16" s="14" t="str">
        <x:v>未実施</x:v>
      </x:c>
      <x:c r="F16" s="14" t="str"/>
      <x:c r="G16" s="14" t="str"/>
      <x:c r="H16" s="14" t="str"/>
    </x:row>
    <x:row r="17" ht="70" customHeight="1">
      <x:c r="A17" s="10" t="str">
        <x:v>V13</x:v>
      </x:c>
      <x:c r="B17" s="10" t="str">
        <x:v>箱とBS-01</x:v>
      </x:c>
      <x:c r="C17" s="10" t="str">
        <x:v>径適合・固定・可動干渉なし</x:v>
      </x:c>
      <x:c r="D17" s="10" t="str">
        <x:v>取付板と満載質量も確認</x:v>
      </x:c>
      <x:c r="E17" s="14" t="str">
        <x:v>未実施</x:v>
      </x:c>
      <x:c r="F17" s="14" t="str"/>
      <x:c r="G17" s="14" t="str"/>
      <x:c r="H17" s="14" t="str"/>
    </x:row>
    <x:row r="18" ht="70" customHeight="1">
      <x:c r="A18" s="10" t="str">
        <x:v>V14</x:v>
      </x:c>
      <x:c r="B18" s="10" t="str">
        <x:v>回収順序</x:v>
      </x:c>
      <x:c r="C18" s="10" t="str">
        <x:v>箱が先に入り閉止後に離れる</x:v>
      </x:c>
      <x:c r="D18" s="10" t="str">
        <x:v>1枚→4枚→5枚</x:v>
      </x:c>
      <x:c r="E18" s="14" t="str">
        <x:v>未実施</x:v>
      </x:c>
      <x:c r="F18" s="14" t="str"/>
      <x:c r="G18" s="14" t="str"/>
      <x:c r="H18" s="14" t="str"/>
    </x:row>
    <x:row r="19" ht="70" customHeight="1">
      <x:c r="A19" s="10" t="str">
        <x:v>V15</x:v>
      </x:c>
      <x:c r="B19" s="10" t="str">
        <x:v>ケース送り</x:v>
      </x:c>
      <x:c r="C19" s="10" t="str">
        <x:v>26°で5枚詰まらず送る</x:v>
      </x:c>
      <x:c r="D19" s="10" t="str">
        <x:v>反り・摩擦・汚れ含む</x:v>
      </x:c>
      <x:c r="E19" s="14" t="str">
        <x:v>未実施</x:v>
      </x:c>
      <x:c r="F19" s="14" t="str"/>
      <x:c r="G19" s="14" t="str"/>
      <x:c r="H19" s="14" t="str"/>
    </x:row>
    <x:row r="20" ht="70" customHeight="1">
      <x:c r="A20" s="10" t="str">
        <x:v>V16</x:v>
      </x:c>
      <x:c r="B20" s="10" t="str">
        <x:v>落下・衝撃</x:v>
      </x:c>
      <x:c r="C20" s="10" t="str">
        <x:v>飛出し・引掛り・箱破損なし</x:v>
      </x:c>
      <x:c r="D20" s="10" t="str">
        <x:v>5枚と満載で実試験</x:v>
      </x:c>
      <x:c r="E20" s="14" t="str">
        <x:v>未実施</x:v>
      </x:c>
      <x:c r="F20" s="14" t="str"/>
      <x:c r="G20" s="14" t="str"/>
      <x:c r="H20" s="14" t="str"/>
    </x:row>
    <x:row r="21" ht="70" customHeight="1">
      <x:c r="A21" s="10" t="str">
        <x:v>V17</x:v>
      </x:c>
      <x:c r="B21" s="10" t="str">
        <x:v>強度・寿命</x:v>
      </x:c>
      <x:c r="C21" s="10" t="str">
        <x:v>要求荷重・回数を定義し満足</x:v>
      </x:c>
      <x:c r="D21" s="10" t="str">
        <x:v>条件・回数・責任者を記録</x:v>
      </x:c>
      <x:c r="E21" s="14" t="str">
        <x:v>未実施</x:v>
      </x:c>
      <x:c r="F21" s="14" t="str"/>
      <x:c r="G21" s="14" t="str"/>
      <x:c r="H21" s="14" t="str"/>
    </x:row>
    <x:row r="22" ht="38" customHeight="1">
      <x:c r="A22" s="3"/>
      <x:c r="B22" s="3"/>
      <x:c r="C22" s="3"/>
      <x:c r="D22" s="3"/>
      <x:c r="E22" s="3"/>
      <x:c r="F22" s="3"/>
      <x:c r="G22" s="3"/>
      <x:c r="H22" s="3"/>
    </x:row>
    <x:row r="23" ht="38" customHeight="1">
      <x:c r="A23" s="3"/>
      <x:c r="B23" s="3"/>
      <x:c r="C23" s="3"/>
      <x:c r="D23" s="3"/>
      <x:c r="E23" s="3"/>
      <x:c r="F23" s="3"/>
      <x:c r="G23" s="3"/>
      <x:c r="H23" s="3"/>
    </x:row>
    <x:row r="24" ht="38" customHeight="1">
      <x:c r="A24" s="3" t="str">
        <x:v>総合製作承認：保留。E列だけの変更では承認しない。全項目の証跡・設計確定と責任者の別途判断が必要。</x:v>
      </x:c>
      <x:c r="B24" s="3"/>
      <x:c r="C24" s="3"/>
      <x:c r="D24" s="3"/>
      <x:c r="E24" s="3"/>
      <x:c r="F24" s="3"/>
      <x:c r="G24" s="3"/>
      <x:c r="H24" s="3"/>
    </x:row>
    <x:row r="25" ht="38" customHeight="1">
      <x:c r="A25" s="3"/>
      <x:c r="B25" s="3"/>
      <x:c r="C25" s="3"/>
      <x:c r="D25" s="3"/>
      <x:c r="E25" s="3"/>
      <x:c r="F25" s="3"/>
      <x:c r="G25" s="3"/>
      <x:c r="H25" s="3"/>
    </x:row>
    <x:row r="26" ht="38" customHeight="1">
      <x:c r="A26" s="3"/>
      <x:c r="B26" s="3"/>
      <x:c r="C26" s="3"/>
      <x:c r="D26" s="3"/>
      <x:c r="E26" s="3"/>
      <x:c r="F26" s="3"/>
      <x:c r="G26" s="3"/>
      <x:c r="H26" s="3"/>
    </x:row>
    <x:row r="27" ht="38" customHeight="1">
      <x:c r="A27" s="3" t="str">
        <x:v>要求サイクル・速度・荷重・環境［記入］　最終図面番号［記入］　承認者・日付［未承認］</x:v>
      </x:c>
      <x:c r="B27" s="3"/>
      <x:c r="C27" s="3"/>
      <x:c r="D27" s="3"/>
      <x:c r="E27" s="3"/>
      <x:c r="F27" s="3"/>
      <x:c r="G27" s="3"/>
      <x:c r="H27" s="3"/>
    </x:row>
    <x:row r="28" ht="38" customHeight="1">
      <x:c r="A28" s="3"/>
      <x:c r="B28" s="3"/>
      <x:c r="C28" s="3"/>
      <x:c r="D28" s="3"/>
      <x:c r="E28" s="3"/>
      <x:c r="F28" s="3"/>
      <x:c r="G28" s="3"/>
      <x:c r="H28" s="3"/>
    </x:row>
    <x:row r="29" ht="38" customHeight="1">
      <x:c r="A29" s="3"/>
      <x:c r="B29" s="3"/>
      <x:c r="C29" s="3"/>
      <x:c r="D29" s="3"/>
      <x:c r="E29" s="3"/>
      <x:c r="F29" s="3"/>
      <x:c r="G29" s="3"/>
      <x:c r="H29" s="3"/>
    </x:row>
    <x:row r="30" ht="38" customHeight="1">
      <x:c r="A30" s="3"/>
      <x:c r="B30" s="3"/>
      <x:c r="C30" s="3"/>
      <x:c r="D30" s="3"/>
      <x:c r="E30" s="3"/>
      <x:c r="F30" s="3"/>
      <x:c r="G30" s="3"/>
      <x:c r="H30" s="3"/>
    </x:row>
    <x:row r="31" ht="38" customHeight="1">
      <x:c r="A31" s="3"/>
      <x:c r="B31" s="3"/>
      <x:c r="C31" s="3"/>
      <x:c r="D31" s="3"/>
      <x:c r="E31" s="3"/>
      <x:c r="F31" s="3"/>
      <x:c r="G31" s="3"/>
      <x:c r="H31" s="3"/>
    </x:row>
    <x:row r="32" ht="38" customHeight="1">
      <x:c r="A32" s="3"/>
      <x:c r="B32" s="3"/>
      <x:c r="C32" s="3"/>
      <x:c r="D32" s="3"/>
      <x:c r="E32" s="3"/>
      <x:c r="F32" s="3"/>
      <x:c r="G32" s="3"/>
      <x:c r="H32" s="3"/>
    </x:row>
    <x:row r="33" ht="38" customHeight="1">
      <x:c r="A33" s="3"/>
      <x:c r="B33" s="3"/>
      <x:c r="C33" s="3"/>
      <x:c r="D33" s="3"/>
      <x:c r="E33" s="3"/>
      <x:c r="F33" s="3"/>
      <x:c r="G33" s="3"/>
      <x:c r="H33" s="3"/>
    </x:row>
    <x:row r="34" ht="38" customHeight="1">
      <x:c r="A34" s="3"/>
      <x:c r="B34" s="3"/>
      <x:c r="C34" s="3"/>
      <x:c r="D34" s="3"/>
      <x:c r="E34" s="3"/>
      <x:c r="F34" s="3"/>
      <x:c r="G34" s="3"/>
      <x:c r="H34" s="3"/>
    </x:row>
    <x:row r="35" ht="38" customHeight="1">
      <x:c r="A35" s="3"/>
      <x:c r="B35" s="3"/>
      <x:c r="C35" s="3"/>
      <x:c r="D35" s="3"/>
      <x:c r="E35" s="3"/>
      <x:c r="F35" s="3"/>
      <x:c r="G35" s="3"/>
      <x:c r="H35" s="3"/>
    </x:row>
    <x:row r="36" ht="38" customHeight="1">
      <x:c r="A36" s="3"/>
      <x:c r="B36" s="3"/>
      <x:c r="C36" s="3"/>
      <x:c r="D36" s="3"/>
      <x:c r="E36" s="3"/>
      <x:c r="F36" s="3"/>
      <x:c r="G36" s="3"/>
      <x:c r="H36" s="3"/>
    </x:row>
    <x:row r="37" ht="38" customHeight="1">
      <x:c r="A37" s="3"/>
      <x:c r="B37" s="3"/>
      <x:c r="C37" s="3"/>
      <x:c r="D37" s="3"/>
      <x:c r="E37" s="3"/>
      <x:c r="F37" s="3"/>
      <x:c r="G37" s="3"/>
      <x:c r="H37" s="3"/>
    </x:row>
    <x:row r="38" ht="38" customHeight="1">
      <x:c r="A38" s="3"/>
      <x:c r="B38" s="3"/>
      <x:c r="C38" s="3"/>
      <x:c r="D38" s="3"/>
      <x:c r="E38" s="3"/>
      <x:c r="F38" s="3"/>
      <x:c r="G38" s="3"/>
      <x:c r="H38" s="3"/>
    </x:row>
    <x:row r="39" ht="38" customHeight="1">
      <x:c r="A39" s="3"/>
      <x:c r="B39" s="3"/>
      <x:c r="C39" s="3"/>
      <x:c r="D39" s="3"/>
      <x:c r="E39" s="3"/>
      <x:c r="F39" s="3"/>
      <x:c r="G39" s="3"/>
      <x:c r="H39" s="3"/>
    </x:row>
    <x:row r="40" ht="38" customHeight="1">
      <x:c r="A40" s="3"/>
      <x:c r="B40" s="3"/>
      <x:c r="C40" s="3"/>
      <x:c r="D40" s="3"/>
      <x:c r="E40" s="3"/>
      <x:c r="F40" s="3"/>
      <x:c r="G40" s="3"/>
      <x:c r="H40" s="3"/>
    </x:row>
    <x:row r="41" ht="38" customHeight="1">
      <x:c r="A41" s="3"/>
      <x:c r="B41" s="3"/>
      <x:c r="C41" s="3"/>
      <x:c r="D41" s="3"/>
      <x:c r="E41" s="3"/>
      <x:c r="F41" s="3"/>
      <x:c r="G41" s="3"/>
      <x:c r="H41" s="3"/>
    </x:row>
    <x:row r="42" ht="38" customHeight="1">
      <x:c r="A42" s="3"/>
      <x:c r="B42" s="3"/>
      <x:c r="C42" s="3"/>
      <x:c r="D42" s="3"/>
      <x:c r="E42" s="3"/>
      <x:c r="F42" s="3"/>
      <x:c r="G42" s="3"/>
      <x:c r="H42" s="3"/>
    </x:row>
    <x:row r="43" ht="38" customHeight="1">
      <x:c r="A43" s="3"/>
      <x:c r="B43" s="3"/>
      <x:c r="C43" s="3"/>
      <x:c r="D43" s="3"/>
      <x:c r="E43" s="3"/>
      <x:c r="F43" s="3"/>
      <x:c r="G43" s="3"/>
      <x:c r="H43" s="3"/>
    </x:row>
    <x:row r="44" ht="38" customHeight="1">
      <x:c r="A44" s="3"/>
      <x:c r="B44" s="3"/>
      <x:c r="C44" s="3"/>
      <x:c r="D44" s="3"/>
      <x:c r="E44" s="3"/>
      <x:c r="F44" s="3"/>
      <x:c r="G44" s="3"/>
      <x:c r="H44" s="3"/>
    </x:row>
    <x:row r="45" ht="38" customHeight="1">
      <x:c r="A45" s="3"/>
      <x:c r="B45" s="3"/>
      <x:c r="C45" s="3"/>
      <x:c r="D45" s="3"/>
      <x:c r="E45" s="3"/>
      <x:c r="F45" s="3"/>
      <x:c r="G45" s="3"/>
      <x:c r="H45" s="3"/>
    </x:row>
    <x:row r="46" ht="38" customHeight="1">
      <x:c r="A46" s="3"/>
      <x:c r="B46" s="3"/>
      <x:c r="C46" s="3"/>
      <x:c r="D46" s="3"/>
      <x:c r="E46" s="3"/>
      <x:c r="F46" s="3"/>
      <x:c r="G46" s="3"/>
      <x:c r="H46" s="3"/>
    </x:row>
    <x:row r="47" ht="38" customHeight="1">
      <x:c r="A47" s="3"/>
      <x:c r="B47" s="3"/>
      <x:c r="C47" s="3"/>
      <x:c r="D47" s="3"/>
      <x:c r="E47" s="3"/>
      <x:c r="F47" s="3"/>
      <x:c r="G47" s="3"/>
      <x:c r="H47" s="3"/>
    </x:row>
    <x:row r="48" ht="38" customHeight="1">
      <x:c r="A48" s="3"/>
      <x:c r="B48" s="3"/>
      <x:c r="C48" s="3"/>
      <x:c r="D48" s="3"/>
      <x:c r="E48" s="3"/>
      <x:c r="F48" s="3"/>
      <x:c r="G48" s="3"/>
      <x:c r="H48" s="3"/>
    </x:row>
    <x:row r="49" ht="38" customHeight="1">
      <x:c r="A49" s="3"/>
      <x:c r="B49" s="3"/>
      <x:c r="C49" s="3"/>
      <x:c r="D49" s="3"/>
      <x:c r="E49" s="3"/>
      <x:c r="F49" s="3"/>
      <x:c r="G49" s="3"/>
      <x:c r="H49" s="3"/>
    </x:row>
    <x:row r="50" ht="38" customHeight="1">
      <x:c r="A50" s="3"/>
      <x:c r="B50" s="3"/>
      <x:c r="C50" s="3"/>
      <x:c r="D50" s="3"/>
      <x:c r="E50" s="3"/>
      <x:c r="F50" s="3"/>
      <x:c r="G50" s="3"/>
      <x:c r="H50" s="3"/>
    </x:row>
    <x:row r="51" ht="38" customHeight="1">
      <x:c r="A51" s="3"/>
      <x:c r="B51" s="3"/>
      <x:c r="C51" s="3"/>
      <x:c r="D51" s="3"/>
      <x:c r="E51" s="3"/>
      <x:c r="F51" s="3"/>
      <x:c r="G51" s="3"/>
      <x:c r="H51" s="3"/>
    </x:row>
    <x:row r="52" ht="38" customHeight="1">
      <x:c r="A52" s="3"/>
      <x:c r="B52" s="3"/>
      <x:c r="C52" s="3"/>
      <x:c r="D52" s="3"/>
      <x:c r="E52" s="3"/>
      <x:c r="F52" s="3"/>
      <x:c r="G52" s="3"/>
      <x:c r="H52" s="3"/>
    </x:row>
    <x:row r="53" ht="38" customHeight="1">
      <x:c r="A53" s="3"/>
      <x:c r="B53" s="3"/>
      <x:c r="C53" s="3"/>
      <x:c r="D53" s="3"/>
      <x:c r="E53" s="3"/>
      <x:c r="F53" s="3"/>
      <x:c r="G53" s="3"/>
      <x:c r="H53" s="3"/>
    </x:row>
    <x:row r="54" ht="38" customHeight="1">
      <x:c r="A54" s="3"/>
      <x:c r="B54" s="3"/>
      <x:c r="C54" s="3"/>
      <x:c r="D54" s="3"/>
      <x:c r="E54" s="3"/>
      <x:c r="F54" s="3"/>
      <x:c r="G54" s="3"/>
      <x:c r="H54" s="3"/>
    </x:row>
    <x:row r="55" ht="38" customHeight="1">
      <x:c r="A55" s="3"/>
      <x:c r="B55" s="3"/>
      <x:c r="C55" s="3"/>
      <x:c r="D55" s="3"/>
      <x:c r="E55" s="3"/>
      <x:c r="F55" s="3"/>
      <x:c r="G55" s="3"/>
      <x:c r="H55" s="3"/>
    </x:row>
    <x:row r="56" ht="38" customHeight="1">
      <x:c r="A56" s="3"/>
      <x:c r="B56" s="3"/>
      <x:c r="C56" s="3"/>
      <x:c r="D56" s="3"/>
      <x:c r="E56" s="3"/>
      <x:c r="F56" s="3"/>
      <x:c r="G56" s="3"/>
      <x:c r="H56" s="3"/>
    </x:row>
    <x:row r="57" ht="38" customHeight="1">
      <x:c r="A57" s="3"/>
      <x:c r="B57" s="3"/>
      <x:c r="C57" s="3"/>
      <x:c r="D57" s="3"/>
      <x:c r="E57" s="3"/>
      <x:c r="F57" s="3"/>
      <x:c r="G57" s="3"/>
      <x:c r="H57" s="3"/>
    </x:row>
    <x:row r="58" ht="38" customHeight="1">
      <x:c r="A58" s="3"/>
      <x:c r="B58" s="3"/>
      <x:c r="C58" s="3"/>
      <x:c r="D58" s="3"/>
      <x:c r="E58" s="3"/>
      <x:c r="F58" s="3"/>
      <x:c r="G58" s="3"/>
      <x:c r="H58" s="3"/>
    </x:row>
    <x:row r="59" ht="38" customHeight="1">
      <x:c r="A59" s="3"/>
      <x:c r="B59" s="3"/>
      <x:c r="C59" s="3"/>
      <x:c r="D59" s="3"/>
      <x:c r="E59" s="3"/>
      <x:c r="F59" s="3"/>
      <x:c r="G59" s="3"/>
      <x:c r="H59" s="3"/>
    </x:row>
    <x:row r="60" ht="38" customHeight="1">
      <x:c r="A60" s="3"/>
      <x:c r="B60" s="3"/>
      <x:c r="C60" s="3"/>
      <x:c r="D60" s="3"/>
      <x:c r="E60" s="3"/>
      <x:c r="F60" s="3"/>
      <x:c r="G60" s="3"/>
      <x:c r="H60" s="3"/>
    </x:row>
    <x:row r="61" ht="38" customHeight="1">
      <x:c r="A61" s="3"/>
      <x:c r="B61" s="3"/>
      <x:c r="C61" s="3"/>
      <x:c r="D61" s="3"/>
      <x:c r="E61" s="3"/>
      <x:c r="F61" s="3"/>
      <x:c r="G61" s="3"/>
      <x:c r="H61" s="3"/>
    </x:row>
    <x:row r="62" ht="38" customHeight="1">
      <x:c r="A62" s="3"/>
      <x:c r="B62" s="3"/>
      <x:c r="C62" s="3"/>
      <x:c r="D62" s="3"/>
      <x:c r="E62" s="3"/>
      <x:c r="F62" s="3"/>
      <x:c r="G62" s="3"/>
      <x:c r="H62" s="3"/>
    </x:row>
    <x:row r="63" ht="38" customHeight="1">
      <x:c r="A63" s="3"/>
      <x:c r="B63" s="3"/>
      <x:c r="C63" s="3"/>
      <x:c r="D63" s="3"/>
      <x:c r="E63" s="3"/>
      <x:c r="F63" s="3"/>
      <x:c r="G63" s="3"/>
      <x:c r="H63" s="3"/>
    </x:row>
    <x:row r="64" ht="38" customHeight="1">
      <x:c r="A64" s="3"/>
      <x:c r="B64" s="3"/>
      <x:c r="C64" s="3"/>
      <x:c r="D64" s="3"/>
      <x:c r="E64" s="3"/>
      <x:c r="F64" s="3"/>
      <x:c r="G64" s="3"/>
      <x:c r="H64" s="3"/>
    </x:row>
    <x:row r="65" ht="38" customHeight="1">
      <x:c r="A65" s="3"/>
      <x:c r="B65" s="3"/>
      <x:c r="C65" s="3"/>
      <x:c r="D65" s="3"/>
      <x:c r="E65" s="3"/>
      <x:c r="F65" s="3"/>
      <x:c r="G65" s="3"/>
      <x:c r="H65" s="3"/>
    </x:row>
    <x:row r="66" ht="38" customHeight="1">
      <x:c r="A66" s="3"/>
      <x:c r="B66" s="3"/>
      <x:c r="C66" s="3"/>
      <x:c r="D66" s="3"/>
      <x:c r="E66" s="3"/>
      <x:c r="F66" s="3"/>
      <x:c r="G66" s="3"/>
      <x:c r="H66" s="3"/>
    </x:row>
    <x:row r="67" ht="38" customHeight="1">
      <x:c r="A67" s="3"/>
      <x:c r="B67" s="3"/>
      <x:c r="C67" s="3"/>
      <x:c r="D67" s="3"/>
      <x:c r="E67" s="3"/>
      <x:c r="F67" s="3"/>
      <x:c r="G67" s="3"/>
      <x:c r="H67" s="3"/>
    </x:row>
    <x:row r="68" ht="38" customHeight="1">
      <x:c r="A68" s="3"/>
      <x:c r="B68" s="3"/>
      <x:c r="C68" s="3"/>
      <x:c r="D68" s="3"/>
      <x:c r="E68" s="3"/>
      <x:c r="F68" s="3"/>
      <x:c r="G68" s="3"/>
      <x:c r="H68" s="3"/>
    </x:row>
    <x:row r="69" ht="38" customHeight="1">
      <x:c r="A69" s="3"/>
      <x:c r="B69" s="3"/>
      <x:c r="C69" s="3"/>
      <x:c r="D69" s="3"/>
      <x:c r="E69" s="3"/>
      <x:c r="F69" s="3"/>
      <x:c r="G69" s="3"/>
      <x:c r="H69" s="3"/>
    </x:row>
    <x:row r="70" ht="38" customHeight="1">
      <x:c r="A70" s="3"/>
      <x:c r="B70" s="3"/>
      <x:c r="C70" s="3"/>
      <x:c r="D70" s="3"/>
      <x:c r="E70" s="3"/>
      <x:c r="F70" s="3"/>
      <x:c r="G70" s="3"/>
      <x:c r="H70" s="3"/>
    </x:row>
  </x:sheetData>
  <x:mergeCells>
    <x:mergeCell ref="A1:H1"/>
    <x:mergeCell ref="A2:H2"/>
    <x:mergeCell ref="A24:H25"/>
    <x:mergeCell ref="A27:H28"/>
  </x:mergeCells>
  <x:dataValidations count="1">
    <x:dataValidation type="list" sqref="E5:E21">
      <x:formula1>"未実施,計算照合のみ,不合格,実機確認済"</x:formula1>
    </x:dataValidation>
  </x:dataValidations>
  <x:pageMargins left="0.7" right="0.7" top="0.75" bottom="0.75" header="0.3" footer="0.3"/>
</x:worksheet>
</file>