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07e966b6b473a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組立図_閉止" sheetId="1" ns1:id="Rbe73c74e8033473e"/>
    <sheet name="組立図_全開" sheetId="2" ns1:id="R3af2401809244f3a"/>
    <sheet name="部品図" sheetId="3" ns1:id="R6ef38db81bf14b3d"/>
    <sheet name="寸法と検証" sheetId="4" ns1:id="R287700988d9843fe"/>
    <sheet name="部品表と前提" sheetId="5" ns1:id="R56d7fe81f00c4119"/>
  </sheets>
  <definedNames>
    <definedName name="_xlnm.Print_Area" localSheetId="0">'組立図_閉止'!$A$1:$M$49</definedName>
    <definedName name="_xlnm.Print_Area" localSheetId="1">'組立図_全開'!$A$1:$M$49</definedName>
    <definedName name="_xlnm.Print_Area" localSheetId="2">'部品図'!$A$1:$M$49</definedName>
    <definedName name="_xlnm.Print_Area" localSheetId="3">'寸法と検証'!$A$1:$F$98</definedName>
    <definedName name="_xlnm.Print_Area" localSheetId="4">'部品表と前提'!$A$1:$E$47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4">
    <x:font>
      <x:sz val="11"/>
      <x:name val="Carlito"/>
    </x:font>
    <x:font>
      <x:sz val="10"/>
      <x:color rgb="FF26364A"/>
      <x:name val="Meiryo"/>
    </x:font>
    <x:font>
      <x:b/>
      <x:sz val="16"/>
      <x:color rgb="FF26364A"/>
      <x:name val="Meiryo"/>
    </x:font>
    <x:font>
      <x:b/>
      <x:sz val="10"/>
      <x:color rgb="FFFFFFFF"/>
      <x:name val="Meiryo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334F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  <x:dxfs count="1">
    <x:dxf>
      <x:font>
        <x:color rgb="FFA42720"/>
      </x:font>
      <x:fill>
        <x:patternFill patternType="solid">
          <x:bgColor rgb="FFFBE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cffbedb1f482a" /><Relationship Type="http://schemas.openxmlformats.org/officeDocument/2006/relationships/theme" Target="/xl/theme/theme1.xml" Id="R21449627ea3e459b" /><Relationship Type="http://schemas.openxmlformats.org/officeDocument/2006/relationships/sharedStrings" Target="/xl/sharedStrings.xml" Id="Rdee6e2a058094fee" /><Relationship Type="http://schemas.openxmlformats.org/officeDocument/2006/relationships/worksheet" Target="/xl/worksheets/sheet1.xml" Id="Rbe73c74e8033473e" /><Relationship Type="http://schemas.openxmlformats.org/officeDocument/2006/relationships/worksheet" Target="/xl/worksheets/sheet2.xml" Id="R3af2401809244f3a" /><Relationship Type="http://schemas.openxmlformats.org/officeDocument/2006/relationships/worksheet" Target="/xl/worksheets/sheet3.xml" Id="R6ef38db81bf14b3d" /><Relationship Type="http://schemas.openxmlformats.org/officeDocument/2006/relationships/worksheet" Target="/xl/worksheets/sheet4.xml" Id="R287700988d9843fe" /><Relationship Type="http://schemas.openxmlformats.org/officeDocument/2006/relationships/worksheet" Target="/xl/worksheets/sheet5.xml" Id="R56d7fe81f00c41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0f2deed11ee423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c9e96e58b3a44a3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0c7eb0fd34048c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1430000" cy="10287000"/>
    <xdr:pic>
      <xdr:nvPicPr>
        <xdr:cNvPr id="1" name="28d4bb05-5901-4e34-ac28-cf6b1eee6a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f2deed11ee42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1430000" cy="10287000"/>
    <xdr:pic>
      <xdr:nvPicPr>
        <xdr:cNvPr id="1" name="fd5e7487-4a9e-4ef3-b77a-a378f4a203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e96e58b3a44a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1430000" cy="10287000"/>
    <xdr:pic>
      <xdr:nvPicPr>
        <xdr:cNvPr id="1" name="04151c41-edbc-4957-a7b4-5fa9100653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c7eb0fd34048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d998b64b6f4e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83a4d5f8a7246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34aa75721da04d21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475B5"/>
    <pageSetUpPr fitToPage="1"/>
  </sheetPr>
  <sheetViews>
    <sheetView showGridLines="0" workbookViewId="0"/>
  </sheetViews>
  <sheetFormatPr defaultRowHeight="15"/>
  <cols>
    <col min="1" max="1" width="12" hidden="0" customWidth="1"/>
    <col min="2" max="2" width="12" hidden="0" customWidth="1"/>
    <col min="3" max="3" width="12" hidden="0" customWidth="1"/>
    <col min="4" max="4" width="12" hidden="0" customWidth="1"/>
    <col min="5" max="5" width="12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</cols>
  <sheetData>
    <row r="1" ht="18" customHeight="1">
      <c r="A1" s="1" t="str">
        <v>Rev B：横スライドゲート／ケース100×205・最大5枚。図は固定画像、入力変更では更新されません。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8" customHeight="1">
      <c r="A49" s="1" t="str">
        <v>KS-B01 / Rev B / 2026-10-24 / 提案構造の検討図・旧回転蓋方式は廃止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2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2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2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2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2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2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2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2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2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2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2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2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2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2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2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2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2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2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2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2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2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2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2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2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2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2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2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2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2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2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2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2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2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2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2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2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2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2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2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2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2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2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2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2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2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2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2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2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2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2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2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2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2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2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2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2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2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2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2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2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2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2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2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2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2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2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2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2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2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2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2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2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2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2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2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2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2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2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2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2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2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2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2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2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2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2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2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2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2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2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2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2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2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2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2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2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2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2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2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2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2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</sheetData>
  <pageMargins left=".2" right=".2" top=".2" bottom=".2" header=".1" footer=".1"/>
  <pageSetup paperSize="8" orientation="landscape" fitToWidth="1" fitToHeight="1"/>
  <drawing ns1:id="Rb6d998b64b6f4e24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475B5"/>
    <pageSetUpPr fitToPage="1"/>
  </sheetPr>
  <sheetViews>
    <sheetView showGridLines="0" workbookViewId="0"/>
  </sheetViews>
  <sheetFormatPr defaultRowHeight="15"/>
  <cols>
    <col min="1" max="1" width="12" hidden="0" customWidth="1"/>
    <col min="2" max="2" width="12" hidden="0" customWidth="1"/>
    <col min="3" max="3" width="12" hidden="0" customWidth="1"/>
    <col min="4" max="4" width="12" hidden="0" customWidth="1"/>
    <col min="5" max="5" width="12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</cols>
  <sheetData>
    <row r="1" ht="18" customHeight="1">
      <c r="A1" s="1" t="str">
        <v>Rev B：横スライドゲート／ケース100×205・最大5枚。図は固定画像、入力変更では更新されません。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8" customHeight="1">
      <c r="A49" s="1" t="str">
        <v>KS-B01 / Rev B / 2026-10-24 / 提案構造の検討図・旧回転蓋方式は廃止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2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2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2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2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2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2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2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2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2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2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2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2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2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2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2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2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2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2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2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2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2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2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2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2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2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2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2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2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2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2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2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2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2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2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2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2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2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2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2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2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2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2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2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2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2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2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2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2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2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2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2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2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2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2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2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2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2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2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2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2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2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2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2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2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2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2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2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2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2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2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2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2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2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2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2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2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2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2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2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2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2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2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2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2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2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2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2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2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2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2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2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2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2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2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2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2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2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2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2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2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2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</sheetData>
  <pageMargins left=".2" right=".2" top=".2" bottom=".2" header=".1" footer=".1"/>
  <pageSetup paperSize="8" orientation="landscape" fitToWidth="1" fitToHeight="1"/>
  <drawing ns1:id="Rf83a4d5f8a72464f"/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2475B5"/>
    <pageSetUpPr fitToPage="1"/>
  </sheetPr>
  <sheetViews>
    <sheetView showGridLines="0" workbookViewId="0"/>
  </sheetViews>
  <sheetFormatPr defaultRowHeight="15"/>
  <cols>
    <col min="1" max="1" width="12" hidden="0" customWidth="1"/>
    <col min="2" max="2" width="12" hidden="0" customWidth="1"/>
    <col min="3" max="3" width="12" hidden="0" customWidth="1"/>
    <col min="4" max="4" width="12" hidden="0" customWidth="1"/>
    <col min="5" max="5" width="12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</cols>
  <sheetData>
    <row r="1" ht="18" customHeight="1">
      <c r="A1" s="1" t="str">
        <v>Rev B：横スライドゲート／ケース100×205・最大5枚。図は固定画像、入力変更では更新されません。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8" customHeight="1">
      <c r="A49" s="1" t="str">
        <v>KS-B01 / Rev B / 2026-10-24 / 提案構造の検討図・旧回転蓋方式は廃止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2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2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2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2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2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2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2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2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2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2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2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2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2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2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2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2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2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2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2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2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2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2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2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2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2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2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2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2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2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2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2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2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2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2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2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2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2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2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2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2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2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2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2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2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2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2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2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2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2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2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2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2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2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2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2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2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2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2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2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2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2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2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2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2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2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2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2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2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2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2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2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2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2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2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2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2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2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2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2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2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2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2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2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2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2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2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2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2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2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2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2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2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2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2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2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2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2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2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2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2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2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</sheetData>
  <pageMargins left=".2" right=".2" top=".2" bottom=".2" header=".1" footer=".1"/>
  <pageSetup paperSize="8" orientation="landscape" fitToWidth="1" fitToHeight="1"/>
  <drawing ns1:id="R34aa75721da04d21"/>
</worksheet>
</file>

<file path=xl/worksheets/sheet4.xml><?xml version="1.0" encoding="utf-8"?>
<worksheet xmlns="http://schemas.openxmlformats.org/spreadsheetml/2006/main">
  <sheetPr>
    <tabColor rgb="FF416B8B"/>
    <pageSetUpPr fitToPage="1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32" hidden="0" customWidth="1"/>
    <col min="2" max="2" width="15" hidden="0" customWidth="1"/>
    <col min="3" max="3" width="10" hidden="0" customWidth="1"/>
    <col min="4" max="4" width="30" hidden="0" customWidth="1"/>
    <col min="5" max="5" width="70" hidden="0" customWidth="1"/>
    <col min="6" max="6" width="18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</cols>
  <sheetData>
    <row r="1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>
      <c r="A2" s="2" t="str">
        <v>横スライドゲート：寸法と検証（Rev B）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2" customHeight="1">
      <c r="A4" s="1" t="str">
        <v>淡黄色は入力。mm、deg、N。未入力のばね仕様は合否を出さない。図・HTMLは固定Rev Bモデル。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22" customHeight="1">
      <c r="A6" s="9" t="str">
        <v>入力項目</v>
      </c>
      <c r="B6" s="9" t="str">
        <v>値</v>
      </c>
      <c r="C6" s="9" t="str">
        <v>単位</v>
      </c>
      <c r="D6" s="9" t="str">
        <v>根拠・扱い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ht="32" customHeight="1">
      <c r="A7" s="1" t="str">
        <v>ダクト外幅</v>
      </c>
      <c r="B7" s="4" t="n">
        <v>30</v>
      </c>
      <c r="C7" s="1" t="str">
        <v>mm</v>
      </c>
      <c r="D7" s="5" t="str">
        <v>依頼条件。内幅は壁厚を除いて実測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ht="32" customHeight="1">
      <c r="A8" s="1" t="str">
        <v>ダクト外高さ</v>
      </c>
      <c r="B8" s="4" t="n">
        <v>80</v>
      </c>
      <c r="C8" s="1" t="str">
        <v>mm</v>
      </c>
      <c r="D8" s="5" t="str">
        <v>依頼条件。上ふたを外して使用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32" customHeight="1">
      <c r="A9" s="1" t="str">
        <v>ダクト勾配</v>
      </c>
      <c r="B9" s="4" t="n">
        <v>26</v>
      </c>
      <c r="C9" s="1" t="str">
        <v>deg</v>
      </c>
      <c r="D9" s="5" t="str">
        <v>依頼条件。u方向を下り26°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ht="32" customHeight="1">
      <c r="A10" s="1" t="str">
        <v>ケース高さ</v>
      </c>
      <c r="B10" s="4" t="n">
        <v>100</v>
      </c>
      <c r="C10" s="1" t="str">
        <v>mm</v>
      </c>
      <c r="D10" s="5" t="str">
        <v>ユーザー指定。立てた姿勢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32" customHeight="1">
      <c r="A11" s="1" t="str">
        <v>ケース流れ方向長さ</v>
      </c>
      <c r="B11" s="4" t="n">
        <v>205</v>
      </c>
      <c r="C11" s="1" t="str">
        <v>mm</v>
      </c>
      <c r="D11" s="5" t="str">
        <v>ユーザー指定。205の辺をu方向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32" customHeight="1">
      <c r="A12" s="1" t="str">
        <v>最大滞留枚数</v>
      </c>
      <c r="B12" s="4" t="n">
        <v>5</v>
      </c>
      <c r="C12" s="1" t="str">
        <v>枚</v>
      </c>
      <c r="D12" s="5" t="str">
        <v>ユーザー指定4〜5枚の上限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32" customHeight="1">
      <c r="A13" s="1" t="str">
        <v>5枚分の厚さ</v>
      </c>
      <c r="B13" s="4"/>
      <c r="C13" s="1" t="str">
        <v>mm</v>
      </c>
      <c r="D13" s="5" t="str">
        <v>未確認。5枚の重なり方も現物確認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32" customHeight="1">
      <c r="A14" s="1" t="str">
        <v>中身込み5枚質量</v>
      </c>
      <c r="B14" s="4"/>
      <c r="C14" s="1" t="str">
        <v>kg</v>
      </c>
      <c r="D14" s="5" t="str">
        <v>未確認。枚数だけで荷重は確定しない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32" customHeight="1">
      <c r="A15" s="1" t="str">
        <v>ゲート幅</v>
      </c>
      <c r="B15" s="4" t="n">
        <v>40</v>
      </c>
      <c r="C15" s="1" t="str">
        <v>mm</v>
      </c>
      <c r="D15" s="5" t="str">
        <v>指定フラットバー。幅は実測・±0.2仕上げ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32" customHeight="1">
      <c r="A16" s="1" t="str">
        <v>ゲート高さ</v>
      </c>
      <c r="B16" s="4" t="n">
        <v>110</v>
      </c>
      <c r="C16" s="1" t="str">
        <v>mm</v>
      </c>
      <c r="D16" s="5" t="str">
        <v>提案。下端v−5、上端v105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32" customHeight="1">
      <c r="A17" s="1" t="str">
        <v>ゲート板厚</v>
      </c>
      <c r="B17" s="4" t="n">
        <v>3</v>
      </c>
      <c r="C17" s="1" t="str">
        <v>mm</v>
      </c>
      <c r="D17" s="5" t="str">
        <v>指定フラットバー。実測後に溝幅を調整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32" customHeight="1">
      <c r="A18" s="1" t="str">
        <v>下端重なり</v>
      </c>
      <c r="B18" s="4" t="n">
        <v>5</v>
      </c>
      <c r="C18" s="1" t="str">
        <v>mm</v>
      </c>
      <c r="D18" s="5" t="str">
        <v>提案。閉止端面は当たり合わせ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32" customHeight="1">
      <c r="A19" s="1" t="str">
        <v>ゲート横移動</v>
      </c>
      <c r="B19" s="4" t="n">
        <v>36</v>
      </c>
      <c r="C19" s="1" t="str">
        <v>mm</v>
      </c>
      <c r="D19" s="5" t="str">
        <v>開側終端36±0.2へ現物調整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32" customHeight="1">
      <c r="A20" s="1" t="str">
        <v>有効押込み</v>
      </c>
      <c r="B20" s="4" t="n">
        <v>26</v>
      </c>
      <c r="C20" s="1" t="str">
        <v>mm</v>
      </c>
      <c r="D20" s="5" t="str">
        <v>台車の最終接近量。位置関係は現物調整済み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32" customHeight="1">
      <c r="A21" s="1" t="str">
        <v>ガイド長</v>
      </c>
      <c r="B21" s="4" t="n">
        <v>80</v>
      </c>
      <c r="C21" s="1" t="str">
        <v>mm</v>
      </c>
      <c r="D21" s="5" t="str">
        <v>L20×20×t2、上下各対向2本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32" customHeight="1">
      <c r="A22" s="1" t="str">
        <v>ガイド始点z</v>
      </c>
      <c r="B22" s="4" t="n">
        <v>-22</v>
      </c>
      <c r="C22" s="1" t="str">
        <v>mm</v>
      </c>
      <c r="D22" s="5" t="str">
        <v>ガイド終点はz58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32" customHeight="1">
      <c r="A23" s="1" t="str">
        <v>ガイド内幅</v>
      </c>
      <c r="B23" s="4" t="n">
        <v>3.9</v>
      </c>
      <c r="C23" s="1" t="str">
        <v>mm</v>
      </c>
      <c r="D23" s="5" t="str">
        <v>スペーサーで調整。一般公差の適用外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32" customHeight="1">
      <c r="A24" s="1" t="str">
        <v>片側すべり材厚</v>
      </c>
      <c r="B24" s="4" t="n">
        <v>0.2</v>
      </c>
      <c r="C24" s="1" t="str">
        <v>mm</v>
      </c>
      <c r="D24" s="5" t="str">
        <v>追加材。両面貼付、実厚を確認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32" customHeight="1">
      <c r="A25" s="1" t="str">
        <v>ばね自由長</v>
      </c>
      <c r="B25" s="4" t="n">
        <v>50</v>
      </c>
      <c r="C25" s="1" t="str">
        <v>mm</v>
      </c>
      <c r="D25" s="5" t="str">
        <v>外径8の候補。穴間相当として仮定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32" customHeight="1">
      <c r="A26" s="1" t="str">
        <v>閉止ばね穴間</v>
      </c>
      <c r="B26" s="4" t="n">
        <v>55</v>
      </c>
      <c r="C26" s="1" t="str">
        <v>mm</v>
      </c>
      <c r="D26" s="5" t="str">
        <v>A=(25,110,−70)、B0=(25,110,−15)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32" customHeight="1">
      <c r="A27" s="1" t="str">
        <v>ばね外径</v>
      </c>
      <c r="B27" s="4" t="n">
        <v>8</v>
      </c>
      <c r="C27" s="1" t="str">
        <v>mm</v>
      </c>
      <c r="D27" s="5" t="str">
        <v>既存候補。仕様・フック寸法は未確定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32" customHeight="1">
      <c r="A28" s="1" t="str">
        <v>ばね中心高さv</v>
      </c>
      <c r="B28" s="4" t="n">
        <v>110</v>
      </c>
      <c r="C28" s="1" t="str">
        <v>mm</v>
      </c>
      <c r="D28" s="5" t="str">
        <v>ケース上端から上へ逃がす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32" customHeight="1">
      <c r="A29" s="1" t="str">
        <v>ばね許容伸び</v>
      </c>
      <c r="B29" s="4"/>
      <c r="C29" s="1" t="str">
        <v>mm</v>
      </c>
      <c r="D29" s="5" t="str">
        <v>メーカー値を入力。未入力は判定不可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32" customHeight="1">
      <c r="A30" s="1" t="str">
        <v>ばね定数k</v>
      </c>
      <c r="B30" s="4"/>
      <c r="C30" s="1" t="str">
        <v>N/mm</v>
      </c>
      <c r="D30" s="5" t="str">
        <v>メーカー値を入力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32" customHeight="1">
      <c r="A31" s="1" t="str">
        <v>ばね初張力</v>
      </c>
      <c r="B31" s="4"/>
      <c r="C31" s="1" t="str">
        <v>N</v>
      </c>
      <c r="D31" s="5" t="str">
        <v>メーカー値を入力。ゼロなら0を明示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32" customHeight="1">
      <c r="A32" s="1" t="str">
        <v>最大摺動抵抗</v>
      </c>
      <c r="B32" s="4"/>
      <c r="C32" s="1" t="str">
        <v>N</v>
      </c>
      <c r="D32" s="5" t="str">
        <v>5枚押付けを含めて実測。ゼロなら0を明示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32" customHeight="1">
      <c r="A33" s="1" t="str">
        <v>回収箱内寸・長さ</v>
      </c>
      <c r="B33" s="4" t="n">
        <v>250</v>
      </c>
      <c r="C33" s="1" t="str">
        <v>mm</v>
      </c>
      <c r="D33" s="5" t="str">
        <v>提案。実姿勢の投影寸法で確認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32" customHeight="1">
      <c r="A34" s="1" t="str">
        <v>回収箱内寸・幅</v>
      </c>
      <c r="B34" s="4" t="n">
        <v>80</v>
      </c>
      <c r="C34" s="1" t="str">
        <v>mm</v>
      </c>
      <c r="D34" s="5" t="str">
        <v>提案。5枚分厚さと落下のばらつきで確認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32" customHeight="1">
      <c r="A35" s="1" t="str">
        <v>回収箱内寸・深さ</v>
      </c>
      <c r="B35" s="4" t="n">
        <v>200</v>
      </c>
      <c r="C35" s="1" t="str">
        <v>mm</v>
      </c>
      <c r="D35" s="5" t="str">
        <v>提案。立て姿勢のケースを受ける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32" customHeight="1">
      <c r="A36" s="1" t="str">
        <v>切断代／1切断</v>
      </c>
      <c r="B36" s="4" t="n">
        <v>2</v>
      </c>
      <c r="C36" s="1" t="str">
        <v>mm</v>
      </c>
      <c r="D36" s="5" t="str">
        <v>仮定。手加工前に実工具の切幅を確認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32" customHeight="1">
      <c r="A37" s="1" t="str">
        <v>カム素材長</v>
      </c>
      <c r="B37" s="4" t="n">
        <v>50</v>
      </c>
      <c r="C37" s="1" t="str">
        <v>mm</v>
      </c>
      <c r="D37" s="5" t="str">
        <v>L20×20×t2。接触端R2以上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2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2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2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2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22" customHeight="1">
      <c r="A42" s="9" t="str">
        <v>検証項目</v>
      </c>
      <c r="B42" s="9" t="str">
        <v>値</v>
      </c>
      <c r="C42" s="9" t="str">
        <v>単位</v>
      </c>
      <c r="D42" s="9" t="str">
        <v>判定</v>
      </c>
      <c r="E42" s="9" t="str">
        <v>備考</v>
      </c>
      <c r="F42" s="1"/>
      <c r="G42" s="1"/>
      <c r="H42" s="1"/>
      <c r="I42" s="1"/>
      <c r="J42" s="1"/>
      <c r="K42" s="1"/>
      <c r="L42" s="1"/>
      <c r="M42" s="1"/>
      <c r="N42" s="1"/>
    </row>
    <row r="43" ht="27" customHeight="1">
      <c r="A43" s="1" t="str">
        <v>ゲート上下重なり／上</v>
      </c>
      <c r="B43" s="6" t="n">
        <f>$B$16-$B$18-$B$10</f>
        <v>5</v>
      </c>
      <c r="C43" s="1" t="str">
        <v>mm</v>
      </c>
      <c r="D43" s="1" t="str">
        <v>計算値</v>
      </c>
      <c r="E43" s="1" t="str">
        <v>公称5。ケース高さ100を覆う</v>
      </c>
      <c r="F43" s="1"/>
      <c r="G43" s="1"/>
      <c r="H43" s="1"/>
      <c r="I43" s="1"/>
      <c r="J43" s="1"/>
      <c r="K43" s="1"/>
      <c r="L43" s="1"/>
      <c r="M43" s="1"/>
      <c r="N43" s="1"/>
    </row>
    <row r="44" ht="27" customHeight="1">
      <c r="A44" s="1" t="str">
        <v>閉止左右重なり／片側</v>
      </c>
      <c r="B44" s="6" t="n">
        <f>($B$15-$B$7)/2</f>
        <v>5</v>
      </c>
      <c r="C44" s="1" t="str">
        <v>mm</v>
      </c>
      <c r="D44" s="1" t="str">
        <v>計算値</v>
      </c>
      <c r="E44" s="1" t="str">
        <v>公称5</v>
      </c>
      <c r="F44" s="1"/>
      <c r="G44" s="1"/>
      <c r="H44" s="1"/>
      <c r="I44" s="1"/>
      <c r="J44" s="1"/>
      <c r="K44" s="1"/>
      <c r="L44" s="1"/>
      <c r="M44" s="1"/>
      <c r="N44" s="1"/>
    </row>
    <row r="45" ht="27" customHeight="1">
      <c r="A45" s="1" t="str">
        <v>全開時の通路余裕</v>
      </c>
      <c r="B45" s="6" t="n">
        <f>$B$19-$B$15/2-$B$7/2</f>
        <v>1</v>
      </c>
      <c r="C45" s="1" t="str">
        <v>mm</v>
      </c>
      <c r="D45" s="1" t="str">
        <v>計算値</v>
      </c>
      <c r="E45" s="1" t="str">
        <v>ゲート左端z16、通路右端z15</v>
      </c>
      <c r="F45" s="1"/>
      <c r="G45" s="1"/>
      <c r="H45" s="1"/>
      <c r="I45" s="1"/>
      <c r="J45" s="1"/>
      <c r="K45" s="1"/>
      <c r="L45" s="1"/>
      <c r="M45" s="1"/>
      <c r="N45" s="1"/>
    </row>
    <row r="46" ht="27" customHeight="1">
      <c r="A46" s="1" t="str">
        <v>全開余裕・指定公差込み</v>
      </c>
      <c r="B46" s="6" t="n">
        <f>($B$19-0.2)-($B$15+0.2)/2-($B$7+0.5)/2</f>
        <v>0.44999999999999574</v>
      </c>
      <c r="C46" s="1" t="str">
        <v>mm</v>
      </c>
      <c r="D46" s="1" t="str">
        <v>計算値</v>
      </c>
      <c r="E46" s="1" t="str">
        <v>移動±0.2・幅±0.2・外幅±0.5を仮定</v>
      </c>
      <c r="F46" s="1"/>
      <c r="G46" s="1"/>
      <c r="H46" s="1"/>
      <c r="I46" s="1"/>
      <c r="J46" s="1"/>
      <c r="K46" s="1"/>
      <c r="L46" s="1"/>
      <c r="M46" s="1"/>
      <c r="N46" s="1"/>
    </row>
    <row r="47" ht="27" customHeight="1">
      <c r="A47" s="1" t="str">
        <v>全開余裕・一般±0.5のみ</v>
      </c>
      <c r="B47" s="6" t="n">
        <f>($B$19-0.5)-($B$15+0.5)/2-($B$7+0.5)/2</f>
        <v>0</v>
      </c>
      <c r="C47" s="1" t="str">
        <v>mm</v>
      </c>
      <c r="D47" s="1" t="str">
        <v>要個別調整</v>
      </c>
      <c r="E47" s="1" t="str">
        <v>0になるため終端・幅は個別管理</v>
      </c>
      <c r="F47" s="1"/>
      <c r="G47" s="1"/>
      <c r="H47" s="1"/>
      <c r="I47" s="1"/>
      <c r="J47" s="1"/>
      <c r="K47" s="1"/>
      <c r="L47" s="1"/>
      <c r="M47" s="1"/>
      <c r="N47" s="1"/>
    </row>
    <row r="48" ht="27" customHeight="1">
      <c r="A48" s="1" t="str">
        <v>閉止側ガイド端余裕</v>
      </c>
      <c r="B48" s="6" t="n">
        <f>-$B$15/2-$B$22</f>
        <v>2</v>
      </c>
      <c r="C48" s="1" t="str">
        <v>mm</v>
      </c>
      <c r="D48" s="1" t="str">
        <v>計算値</v>
      </c>
      <c r="E48" s="1" t="str">
        <v>ガイド始点−22、ゲート端−20</v>
      </c>
      <c r="F48" s="1"/>
      <c r="G48" s="1"/>
      <c r="H48" s="1"/>
      <c r="I48" s="1"/>
      <c r="J48" s="1"/>
      <c r="K48" s="1"/>
      <c r="L48" s="1"/>
      <c r="M48" s="1"/>
      <c r="N48" s="1"/>
    </row>
    <row r="49" ht="27" customHeight="1">
      <c r="A49" s="1" t="str">
        <v>開放側ガイド端余裕</v>
      </c>
      <c r="B49" s="6" t="n">
        <f>$B$22+$B$21-($B$15/2+$B$19)</f>
        <v>2</v>
      </c>
      <c r="C49" s="1" t="str">
        <v>mm</v>
      </c>
      <c r="D49" s="1" t="str">
        <v>計算値</v>
      </c>
      <c r="E49" s="1" t="str">
        <v>ガイド終点58、ゲート端56</v>
      </c>
      <c r="F49" s="1"/>
      <c r="G49" s="1"/>
      <c r="H49" s="1"/>
      <c r="I49" s="1"/>
      <c r="J49" s="1"/>
      <c r="K49" s="1"/>
      <c r="L49" s="1"/>
      <c r="M49" s="1"/>
      <c r="N49" s="1"/>
    </row>
    <row r="50" ht="27" customHeight="1">
      <c r="A50" s="1" t="str">
        <v>板厚方向の総遊び</v>
      </c>
      <c r="B50" s="6" t="n">
        <f>$B$23-$B$17-2*$B$24</f>
        <v>0.4999999999999999</v>
      </c>
      <c r="C50" s="1" t="str">
        <v>mm</v>
      </c>
      <c r="D50" s="1" t="str">
        <v>計算値</v>
      </c>
      <c r="E50" s="1" t="str">
        <v>公称0.5。実測で0.3〜0.6へ調整</v>
      </c>
      <c r="F50" s="1"/>
      <c r="G50" s="1"/>
      <c r="H50" s="1"/>
      <c r="I50" s="1"/>
      <c r="J50" s="1"/>
      <c r="K50" s="1"/>
      <c r="L50" s="1"/>
      <c r="M50" s="1"/>
      <c r="N50" s="1"/>
    </row>
    <row r="51" ht="27" customHeight="1">
      <c r="A51" s="1" t="str">
        <v>カム角（u軸から上面）</v>
      </c>
      <c r="B51" s="6" t="n">
        <f>DEGREES(ATAN($B$19/$B$20))</f>
        <v>54.16234704572172</v>
      </c>
      <c r="C51" s="1" t="str">
        <v>deg</v>
      </c>
      <c r="D51" s="1" t="str">
        <v>計算値</v>
      </c>
      <c r="E51" s="1" t="str">
        <v>据付勾配26°とは別の角度</v>
      </c>
      <c r="F51" s="1"/>
      <c r="G51" s="1"/>
      <c r="H51" s="1"/>
      <c r="I51" s="1"/>
      <c r="J51" s="1"/>
      <c r="K51" s="1"/>
      <c r="L51" s="1"/>
      <c r="M51" s="1"/>
      <c r="N51" s="1"/>
    </row>
    <row r="52" ht="27" customHeight="1">
      <c r="A52" s="1" t="str">
        <v>有効カム接触線長</v>
      </c>
      <c r="B52" s="6" t="n">
        <f>SQRT($B$19^2+$B$20^2)</f>
        <v>44.40720662234904</v>
      </c>
      <c r="C52" s="1" t="str">
        <v>mm</v>
      </c>
      <c r="D52" s="1" t="str">
        <v>計算値</v>
      </c>
      <c r="E52" s="1" t="str">
        <v>直線の理論値。Rと当て厚は位置で調整</v>
      </c>
      <c r="F52" s="1"/>
      <c r="G52" s="1"/>
      <c r="H52" s="1"/>
      <c r="I52" s="1"/>
      <c r="J52" s="1"/>
      <c r="K52" s="1"/>
      <c r="L52" s="1"/>
      <c r="M52" s="1"/>
      <c r="N52" s="1"/>
    </row>
    <row r="53" ht="27" customHeight="1">
      <c r="A53" s="1" t="str">
        <v>カム素材の残長</v>
      </c>
      <c r="B53" s="6" t="n">
        <f>$B$37-B52</f>
        <v>5.592793377650963</v>
      </c>
      <c r="C53" s="1" t="str">
        <v>mm</v>
      </c>
      <c r="D53" s="1" t="str">
        <v>計算値</v>
      </c>
      <c r="E53" s="1" t="str">
        <v>有効接触線の前後余裕合計</v>
      </c>
      <c r="F53" s="1"/>
      <c r="G53" s="1"/>
      <c r="H53" s="1"/>
      <c r="I53" s="1"/>
      <c r="J53" s="1"/>
      <c r="K53" s="1"/>
      <c r="L53" s="1"/>
      <c r="M53" s="1"/>
      <c r="N53" s="1"/>
    </row>
    <row r="54" ht="27" customHeight="1">
      <c r="A54" s="1" t="str">
        <v>ばね最大穴間距離</v>
      </c>
      <c r="B54" s="6" t="n">
        <f>$B$26+$B$19</f>
        <v>91</v>
      </c>
      <c r="C54" s="1" t="str">
        <v>mm</v>
      </c>
      <c r="D54" s="1" t="str">
        <v>計算値</v>
      </c>
      <c r="E54" s="1" t="str">
        <v>横移動と同一直線上のばね配置</v>
      </c>
      <c r="F54" s="1"/>
      <c r="G54" s="1"/>
      <c r="H54" s="1"/>
      <c r="I54" s="1"/>
      <c r="J54" s="1"/>
      <c r="K54" s="1"/>
      <c r="L54" s="1"/>
      <c r="M54" s="1"/>
      <c r="N54" s="1"/>
    </row>
    <row r="55" ht="27" customHeight="1">
      <c r="A55" s="1" t="str">
        <v>閉止時ばね伸び</v>
      </c>
      <c r="B55" s="6" t="n">
        <f>$B$26-$B$25</f>
        <v>5</v>
      </c>
      <c r="C55" s="1" t="str">
        <v>mm</v>
      </c>
      <c r="D55" s="1" t="str">
        <v>計算値</v>
      </c>
      <c r="E55" s="1" t="str">
        <v>自由長50に対して5</v>
      </c>
      <c r="F55" s="1"/>
      <c r="G55" s="1"/>
      <c r="H55" s="1"/>
      <c r="I55" s="1"/>
      <c r="J55" s="1"/>
      <c r="K55" s="1"/>
      <c r="L55" s="1"/>
      <c r="M55" s="1"/>
      <c r="N55" s="1"/>
    </row>
    <row r="56" ht="27" customHeight="1">
      <c r="A56" s="1" t="str">
        <v>全開時ばね伸び</v>
      </c>
      <c r="B56" s="6" t="n">
        <f>B54-$B$25</f>
        <v>41</v>
      </c>
      <c r="C56" s="1" t="str">
        <v>mm</v>
      </c>
      <c r="D56" s="1" t="str">
        <v>計算値</v>
      </c>
      <c r="E56" s="1" t="str">
        <v>自由長50に対して41</v>
      </c>
      <c r="F56" s="1"/>
      <c r="G56" s="1"/>
      <c r="H56" s="1"/>
      <c r="I56" s="1"/>
      <c r="J56" s="1"/>
      <c r="K56" s="1"/>
      <c r="L56" s="1"/>
      <c r="M56" s="1"/>
      <c r="N56" s="1"/>
    </row>
    <row r="57" ht="27" customHeight="1">
      <c r="A57" s="1" t="str">
        <v>ばねとケース上端の余裕</v>
      </c>
      <c r="B57" s="6" t="n">
        <f>$B$28-$B$27/2-$B$10</f>
        <v>6</v>
      </c>
      <c r="C57" s="1" t="str">
        <v>mm</v>
      </c>
      <c r="D57" s="1" t="str">
        <v>計算値</v>
      </c>
      <c r="E57" s="1" t="str">
        <v>コイルの包絡。フックは別途確認</v>
      </c>
      <c r="F57" s="1"/>
      <c r="G57" s="1"/>
      <c r="H57" s="1"/>
      <c r="I57" s="1"/>
      <c r="J57" s="1"/>
      <c r="K57" s="1"/>
      <c r="L57" s="1"/>
      <c r="M57" s="1"/>
      <c r="N57" s="1"/>
    </row>
    <row r="58" ht="27" customHeight="1">
      <c r="A58" s="1" t="str">
        <v>箱長さ方向のケース投影</v>
      </c>
      <c r="B58" s="6" t="n">
        <f>$B$11*COS(RADIANS($B$9))+$B$10*SIN(RADIANS($B$9))</f>
        <v>228.089894170237</v>
      </c>
      <c r="C58" s="1" t="str">
        <v>mm</v>
      </c>
      <c r="D58" s="1" t="str">
        <v>計算値</v>
      </c>
      <c r="E58" s="1" t="str">
        <v>26°姿勢を保持した矩形の投影</v>
      </c>
      <c r="F58" s="1"/>
      <c r="G58" s="1"/>
      <c r="H58" s="1"/>
      <c r="I58" s="1"/>
      <c r="J58" s="1"/>
      <c r="K58" s="1"/>
      <c r="L58" s="1"/>
      <c r="M58" s="1"/>
      <c r="N58" s="1"/>
    </row>
    <row r="59" ht="27" customHeight="1">
      <c r="A59" s="1" t="str">
        <v>箱深さ方向のケース投影</v>
      </c>
      <c r="B59" s="6" t="n">
        <f>$B$11*SIN(RADIANS($B$9))+$B$10*COS(RADIANS($B$9))</f>
        <v>179.7454897216776</v>
      </c>
      <c r="C59" s="1" t="str">
        <v>mm</v>
      </c>
      <c r="D59" s="1" t="str">
        <v>計算値</v>
      </c>
      <c r="E59" s="1" t="str">
        <v>26°姿勢を保持した矩形の投影</v>
      </c>
      <c r="F59" s="1"/>
      <c r="G59" s="1"/>
      <c r="H59" s="1"/>
      <c r="I59" s="1"/>
      <c r="J59" s="1"/>
      <c r="K59" s="1"/>
      <c r="L59" s="1"/>
      <c r="M59" s="1"/>
      <c r="N59" s="1"/>
    </row>
    <row r="60" ht="27" customHeight="1">
      <c r="A60" s="1" t="str">
        <v>箱長さの合計余裕</v>
      </c>
      <c r="B60" s="6" t="n">
        <f>$B$33-B58</f>
        <v>21.910105829763012</v>
      </c>
      <c r="C60" s="1" t="str">
        <v>mm</v>
      </c>
      <c r="D60" s="1" t="str">
        <v>計算値</v>
      </c>
      <c r="E60" s="1" t="str">
        <v>落下偏りの保証値ではない</v>
      </c>
      <c r="F60" s="1"/>
      <c r="G60" s="1"/>
      <c r="H60" s="1"/>
      <c r="I60" s="1"/>
      <c r="J60" s="1"/>
      <c r="K60" s="1"/>
      <c r="L60" s="1"/>
      <c r="M60" s="1"/>
      <c r="N60" s="1"/>
    </row>
    <row r="61" ht="27" customHeight="1">
      <c r="A61" s="1" t="str">
        <v>箱深さの余裕</v>
      </c>
      <c r="B61" s="6" t="n">
        <f>$B$35-B59</f>
        <v>20.254510278322414</v>
      </c>
      <c r="C61" s="1" t="str">
        <v>mm</v>
      </c>
      <c r="D61" s="1" t="str">
        <v>計算値</v>
      </c>
      <c r="E61" s="1" t="str">
        <v>5枚のばらつき・姿勢変化は未解析</v>
      </c>
      <c r="F61" s="1"/>
      <c r="G61" s="1"/>
      <c r="H61" s="1"/>
      <c r="I61" s="1"/>
      <c r="J61" s="1"/>
      <c r="K61" s="1"/>
      <c r="L61" s="1"/>
      <c r="M61" s="1"/>
      <c r="N61" s="1"/>
    </row>
    <row r="62" ht="27" customHeight="1">
      <c r="A62" s="1" t="str">
        <v>箱幅の合計余裕</v>
      </c>
      <c r="B62" s="6" t="str">
        <f>IF($B$13="","厚さ未確認",$B$34-$B$13)</f>
        <v>厚さ未確認</v>
      </c>
      <c r="C62" s="1" t="str">
        <v>mm</v>
      </c>
      <c r="D62" s="1" t="str">
        <v>厚さ要確認</v>
      </c>
      <c r="E62" s="1" t="str">
        <v>外幅30をケースの有効内幅とみなさない</v>
      </c>
      <c r="F62" s="1"/>
      <c r="G62" s="1"/>
      <c r="H62" s="1"/>
      <c r="I62" s="1"/>
      <c r="J62" s="1"/>
      <c r="K62" s="1"/>
      <c r="L62" s="1"/>
      <c r="M62" s="1"/>
      <c r="N62" s="1"/>
    </row>
    <row r="63" ht="27" customHeight="1">
      <c r="A63" s="1" t="str">
        <v>閉止端面すきま</v>
      </c>
      <c r="B63" s="6" t="n">
        <v>0</v>
      </c>
      <c r="C63" s="1" t="str">
        <v>mm</v>
      </c>
      <c r="D63" s="1" t="str">
        <v>現物確認</v>
      </c>
      <c r="E63" s="1" t="str">
        <v>公称値。摺動遊びとは別。現物で当たり合わせ</v>
      </c>
      <c r="F63" s="1"/>
      <c r="G63" s="1"/>
      <c r="H63" s="1"/>
      <c r="I63" s="1"/>
      <c r="J63" s="1"/>
      <c r="K63" s="1"/>
      <c r="L63" s="1"/>
      <c r="M63" s="1"/>
      <c r="N63" s="1"/>
    </row>
    <row r="64" ht="27" customHeight="1">
      <c r="A64" s="1" t="str">
        <v>フラットバー切断残</v>
      </c>
      <c r="B64" s="6" t="n">
        <f>150-$B$16-$B$36</f>
        <v>38</v>
      </c>
      <c r="C64" s="1" t="str">
        <v>mm</v>
      </c>
      <c r="D64" s="1" t="str">
        <v>計算値</v>
      </c>
      <c r="E64" s="1" t="str">
        <v>ゲート110＋鋸代2→残38</v>
      </c>
      <c r="F64" s="1"/>
      <c r="G64" s="1"/>
      <c r="H64" s="1"/>
      <c r="I64" s="1"/>
      <c r="J64" s="1"/>
      <c r="K64" s="1"/>
      <c r="L64" s="1"/>
      <c r="M64" s="1"/>
      <c r="N64" s="1"/>
    </row>
    <row r="65" ht="27" customHeight="1">
      <c r="A65" s="1" t="str">
        <v>アングル1本目の残長</v>
      </c>
      <c r="B65" s="6" t="n">
        <f>300-(3*$B$21+$B$37+4*$B$36)</f>
        <v>2</v>
      </c>
      <c r="C65" s="1" t="str">
        <v>mm</v>
      </c>
      <c r="D65" s="1" t="str">
        <v>計算値</v>
      </c>
      <c r="E65" s="1" t="str">
        <v>80×3＋50＋鋸代8=298</v>
      </c>
      <c r="F65" s="1"/>
      <c r="G65" s="1"/>
      <c r="H65" s="1"/>
      <c r="I65" s="1"/>
      <c r="J65" s="1"/>
      <c r="K65" s="1"/>
      <c r="L65" s="1"/>
      <c r="M65" s="1"/>
      <c r="N65" s="1"/>
    </row>
    <row r="66" ht="27" customHeight="1">
      <c r="A66" s="1" t="str">
        <v>アングル2本目の残長</v>
      </c>
      <c r="B66" s="6" t="n">
        <f>300-(2*$B$21+2*30+3*20+7*$B$36)</f>
        <v>6</v>
      </c>
      <c r="C66" s="1" t="str">
        <v>mm</v>
      </c>
      <c r="D66" s="1" t="str">
        <v>計算値</v>
      </c>
      <c r="E66" s="1" t="str">
        <v>80×2＋30×2＋20×3＋鋸代14=294</v>
      </c>
      <c r="F66" s="1"/>
      <c r="G66" s="1"/>
      <c r="H66" s="1"/>
      <c r="I66" s="1"/>
      <c r="J66" s="1"/>
      <c r="K66" s="1"/>
      <c r="L66" s="1"/>
      <c r="M66" s="1"/>
      <c r="N66" s="1"/>
    </row>
    <row r="67" ht="27" customHeight="1">
      <c r="A67" s="1"/>
      <c r="B67" s="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27" customHeight="1">
      <c r="A68" s="1"/>
      <c r="B68" s="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27" customHeight="1">
      <c r="A69" s="1"/>
      <c r="B69" s="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27" customHeight="1">
      <c r="A70" s="1"/>
      <c r="B70" s="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2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2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30" customHeight="1">
      <c r="A73" s="1" t="str">
        <v>ばね許容伸び判定</v>
      </c>
      <c r="B73" s="1" t="str">
        <f>IF($B$29="","許容値未確認",IF(B56&lt;=$B$29,"伸び範囲内","許容伸び超過"))</f>
        <v>許容値未確認</v>
      </c>
      <c r="C73" s="1"/>
      <c r="D73" s="1"/>
      <c r="E73" s="1" t="str">
        <v>許容伸びが41mm以上でも、フック形状・寿命・公差を確認</v>
      </c>
      <c r="F73" s="1"/>
      <c r="G73" s="1"/>
      <c r="H73" s="1"/>
      <c r="I73" s="1"/>
      <c r="J73" s="1"/>
      <c r="K73" s="1"/>
      <c r="L73" s="1"/>
      <c r="M73" s="1"/>
      <c r="N73" s="1"/>
    </row>
    <row r="74" ht="30" customHeight="1">
      <c r="A74" s="1" t="str">
        <v>閉止張力</v>
      </c>
      <c r="B74" s="6" t="str">
        <f>IF(OR($B$30="",$B$31=""),"仕様未確認",$B$31+$B$30*B55)</f>
        <v>仕様未確認</v>
      </c>
      <c r="C74" s="1" t="str">
        <v>N</v>
      </c>
      <c r="D74" s="1"/>
      <c r="E74" s="1" t="str">
        <v>ばね定数×閉止伸び＋初張力</v>
      </c>
      <c r="F74" s="1"/>
      <c r="G74" s="1"/>
      <c r="H74" s="1"/>
      <c r="I74" s="1"/>
      <c r="J74" s="1"/>
      <c r="K74" s="1"/>
      <c r="L74" s="1"/>
      <c r="M74" s="1"/>
      <c r="N74" s="1"/>
    </row>
    <row r="75" ht="30" customHeight="1">
      <c r="A75" s="1" t="str">
        <v>全開張力</v>
      </c>
      <c r="B75" s="6" t="str">
        <f>IF(OR($B$30="",$B$31=""),"仕様未確認",$B$31+$B$30*B56)</f>
        <v>仕様未確認</v>
      </c>
      <c r="C75" s="1" t="str">
        <v>N</v>
      </c>
      <c r="D75" s="1"/>
      <c r="E75" s="1" t="str">
        <v>ばね定数×全開伸び＋初張力</v>
      </c>
      <c r="F75" s="1"/>
      <c r="G75" s="1"/>
      <c r="H75" s="1"/>
      <c r="I75" s="1"/>
      <c r="J75" s="1"/>
      <c r="K75" s="1"/>
      <c r="L75" s="1"/>
      <c r="M75" s="1"/>
      <c r="N75" s="1"/>
    </row>
    <row r="76" ht="30" customHeight="1">
      <c r="A76" s="1" t="str">
        <v>閉止復帰の余裕</v>
      </c>
      <c r="B76" s="6" t="str">
        <f>IF(OR(NOT(ISNUMBER(B74)),$B$32=""),"抵抗未確認",B74-$B$32)</f>
        <v>抵抗未確認</v>
      </c>
      <c r="C76" s="1" t="str">
        <v>N</v>
      </c>
      <c r="D76" s="1"/>
      <c r="E76" s="1" t="str">
        <v>閉止張力−最大摺動抵抗。5枚時の抵抗を実測</v>
      </c>
      <c r="F76" s="1"/>
      <c r="G76" s="1"/>
      <c r="H76" s="1"/>
      <c r="I76" s="1"/>
      <c r="J76" s="1"/>
      <c r="K76" s="1"/>
      <c r="L76" s="1"/>
      <c r="M76" s="1"/>
      <c r="N76" s="1"/>
    </row>
    <row r="77" ht="30" customHeight="1">
      <c r="A77" s="1" t="str">
        <v>全開時の理論押込み力</v>
      </c>
      <c r="B77" s="6" t="str">
        <f>IF(ISNUMBER(B75),B75*$B$19/$B$20,"仕様未確認")</f>
        <v>仕様未確認</v>
      </c>
      <c r="C77" s="1" t="str">
        <v>N</v>
      </c>
      <c r="D77" s="1"/>
      <c r="E77" s="1" t="str">
        <v>摩擦を除いたカム入力。実際は接触摩擦を加算</v>
      </c>
      <c r="F77" s="1"/>
      <c r="G77" s="1"/>
      <c r="H77" s="1"/>
      <c r="I77" s="1"/>
      <c r="J77" s="1"/>
      <c r="K77" s="1"/>
      <c r="L77" s="1"/>
      <c r="M77" s="1"/>
      <c r="N77" s="1"/>
    </row>
    <row r="78" ht="2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2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22" customHeight="1">
      <c r="A80" s="9" t="str">
        <v>開放率</v>
      </c>
      <c r="B80" s="9" t="str">
        <v>台車押込みmm</v>
      </c>
      <c r="C80" s="9" t="str">
        <v>横移動mm</v>
      </c>
      <c r="D80" s="9" t="str">
        <v>ばね穴間mm</v>
      </c>
      <c r="E80" s="9" t="str">
        <v>ばね伸びmm</v>
      </c>
      <c r="F80" s="9" t="str">
        <v>通路余裕mm</v>
      </c>
      <c r="G80" s="1"/>
      <c r="H80" s="1"/>
      <c r="I80" s="1"/>
      <c r="J80" s="1"/>
      <c r="K80" s="1"/>
      <c r="L80" s="1"/>
      <c r="M80" s="1"/>
      <c r="N80" s="1"/>
    </row>
    <row r="81" ht="22" customHeight="1">
      <c r="A81" s="7" t="n">
        <v>0</v>
      </c>
      <c r="B81" s="6" t="n">
        <f>A81*$B$20</f>
        <v>0</v>
      </c>
      <c r="C81" s="6" t="n">
        <f>A81*$B$19</f>
        <v>0</v>
      </c>
      <c r="D81" s="6" t="n">
        <f>$B$26+C81</f>
        <v>55</v>
      </c>
      <c r="E81" s="6" t="n">
        <f>D81-$B$25</f>
        <v>5</v>
      </c>
      <c r="F81" s="6" t="n">
        <f>C81-$B$15/2-$B$7/2</f>
        <v>-35</v>
      </c>
      <c r="G81" s="1"/>
      <c r="H81" s="1"/>
      <c r="I81" s="1"/>
      <c r="J81" s="1"/>
      <c r="K81" s="1"/>
      <c r="L81" s="1"/>
      <c r="M81" s="1"/>
      <c r="N81" s="1"/>
    </row>
    <row r="82" ht="22" customHeight="1">
      <c r="A82" s="7" t="n">
        <v>0.1</v>
      </c>
      <c r="B82" s="6" t="n">
        <f>A82*$B$20</f>
        <v>2.6</v>
      </c>
      <c r="C82" s="6" t="n">
        <f>A82*$B$19</f>
        <v>3.6</v>
      </c>
      <c r="D82" s="6" t="n">
        <f>$B$26+C82</f>
        <v>58.6</v>
      </c>
      <c r="E82" s="6" t="n">
        <f>D82-$B$25</f>
        <v>8.600000000000001</v>
      </c>
      <c r="F82" s="6" t="n">
        <f>C82-$B$15/2-$B$7/2</f>
        <v>-31.4</v>
      </c>
      <c r="G82" s="1"/>
      <c r="H82" s="1"/>
      <c r="I82" s="1"/>
      <c r="J82" s="1"/>
      <c r="K82" s="1"/>
      <c r="L82" s="1"/>
      <c r="M82" s="1"/>
      <c r="N82" s="1"/>
    </row>
    <row r="83" ht="22" customHeight="1">
      <c r="A83" s="7" t="n">
        <v>0.2</v>
      </c>
      <c r="B83" s="6" t="n">
        <f>A83*$B$20</f>
        <v>5.2</v>
      </c>
      <c r="C83" s="6" t="n">
        <f>A83*$B$19</f>
        <v>7.2</v>
      </c>
      <c r="D83" s="6" t="n">
        <f>$B$26+C83</f>
        <v>62.2</v>
      </c>
      <c r="E83" s="6" t="n">
        <f>D83-$B$25</f>
        <v>12.200000000000003</v>
      </c>
      <c r="F83" s="6" t="n">
        <f>C83-$B$15/2-$B$7/2</f>
        <v>-27.8</v>
      </c>
      <c r="G83" s="1"/>
      <c r="H83" s="1"/>
      <c r="I83" s="1"/>
      <c r="J83" s="1"/>
      <c r="K83" s="1"/>
      <c r="L83" s="1"/>
      <c r="M83" s="1"/>
      <c r="N83" s="1"/>
    </row>
    <row r="84" ht="22" customHeight="1">
      <c r="A84" s="7" t="n">
        <v>0.3</v>
      </c>
      <c r="B84" s="6" t="n">
        <f>A84*$B$20</f>
        <v>7.8</v>
      </c>
      <c r="C84" s="6" t="n">
        <f>A84*$B$19</f>
        <v>10.799999999999999</v>
      </c>
      <c r="D84" s="6" t="n">
        <f>$B$26+C84</f>
        <v>65.8</v>
      </c>
      <c r="E84" s="6" t="n">
        <f>D84-$B$25</f>
        <v>15.799999999999997</v>
      </c>
      <c r="F84" s="6" t="n">
        <f>C84-$B$15/2-$B$7/2</f>
        <v>-24.200000000000003</v>
      </c>
      <c r="G84" s="1"/>
      <c r="H84" s="1"/>
      <c r="I84" s="1"/>
      <c r="J84" s="1"/>
      <c r="K84" s="1"/>
      <c r="L84" s="1"/>
      <c r="M84" s="1"/>
      <c r="N84" s="1"/>
    </row>
    <row r="85" ht="22" customHeight="1">
      <c r="A85" s="7" t="n">
        <v>0.4</v>
      </c>
      <c r="B85" s="6" t="n">
        <f>A85*$B$20</f>
        <v>10.4</v>
      </c>
      <c r="C85" s="6" t="n">
        <f>A85*$B$19</f>
        <v>14.4</v>
      </c>
      <c r="D85" s="6" t="n">
        <f>$B$26+C85</f>
        <v>69.4</v>
      </c>
      <c r="E85" s="6" t="n">
        <f>D85-$B$25</f>
        <v>19.400000000000006</v>
      </c>
      <c r="F85" s="6" t="n">
        <f>C85-$B$15/2-$B$7/2</f>
        <v>-20.6</v>
      </c>
      <c r="G85" s="1"/>
      <c r="H85" s="1"/>
      <c r="I85" s="1"/>
      <c r="J85" s="1"/>
      <c r="K85" s="1"/>
      <c r="L85" s="1"/>
      <c r="M85" s="1"/>
      <c r="N85" s="1"/>
    </row>
    <row r="86" ht="22" customHeight="1">
      <c r="A86" s="7" t="n">
        <v>0.5</v>
      </c>
      <c r="B86" s="6" t="n">
        <f>A86*$B$20</f>
        <v>13</v>
      </c>
      <c r="C86" s="6" t="n">
        <f>A86*$B$19</f>
        <v>18</v>
      </c>
      <c r="D86" s="6" t="n">
        <f>$B$26+C86</f>
        <v>73</v>
      </c>
      <c r="E86" s="6" t="n">
        <f>D86-$B$25</f>
        <v>23</v>
      </c>
      <c r="F86" s="6" t="n">
        <f>C86-$B$15/2-$B$7/2</f>
        <v>-17</v>
      </c>
      <c r="G86" s="1"/>
      <c r="H86" s="1"/>
      <c r="I86" s="1"/>
      <c r="J86" s="1"/>
      <c r="K86" s="1"/>
      <c r="L86" s="1"/>
      <c r="M86" s="1"/>
      <c r="N86" s="1"/>
    </row>
    <row r="87" ht="22" customHeight="1">
      <c r="A87" s="7" t="n">
        <v>0.6</v>
      </c>
      <c r="B87" s="6" t="n">
        <f>A87*$B$20</f>
        <v>15.6</v>
      </c>
      <c r="C87" s="6" t="n">
        <f>A87*$B$19</f>
        <v>21.599999999999998</v>
      </c>
      <c r="D87" s="6" t="n">
        <f>$B$26+C87</f>
        <v>76.6</v>
      </c>
      <c r="E87" s="6" t="n">
        <f>D87-$B$25</f>
        <v>26.599999999999994</v>
      </c>
      <c r="F87" s="6" t="n">
        <f>C87-$B$15/2-$B$7/2</f>
        <v>-13.400000000000002</v>
      </c>
      <c r="G87" s="1"/>
      <c r="H87" s="1"/>
      <c r="I87" s="1"/>
      <c r="J87" s="1"/>
      <c r="K87" s="1"/>
      <c r="L87" s="1"/>
      <c r="M87" s="1"/>
      <c r="N87" s="1"/>
    </row>
    <row r="88" ht="22" customHeight="1">
      <c r="A88" s="7" t="n">
        <v>0.7</v>
      </c>
      <c r="B88" s="6" t="n">
        <f>A88*$B$20</f>
        <v>18.2</v>
      </c>
      <c r="C88" s="6" t="n">
        <f>A88*$B$19</f>
        <v>25.2</v>
      </c>
      <c r="D88" s="6" t="n">
        <f>$B$26+C88</f>
        <v>80.2</v>
      </c>
      <c r="E88" s="6" t="n">
        <f>D88-$B$25</f>
        <v>30.200000000000003</v>
      </c>
      <c r="F88" s="6" t="n">
        <f>C88-$B$15/2-$B$7/2</f>
        <v>-9.8</v>
      </c>
      <c r="G88" s="1"/>
      <c r="H88" s="1"/>
      <c r="I88" s="1"/>
      <c r="J88" s="1"/>
      <c r="K88" s="1"/>
      <c r="L88" s="1"/>
      <c r="M88" s="1"/>
      <c r="N88" s="1"/>
    </row>
    <row r="89" ht="22" customHeight="1">
      <c r="A89" s="7" t="n">
        <v>0.8</v>
      </c>
      <c r="B89" s="6" t="n">
        <f>A89*$B$20</f>
        <v>20.8</v>
      </c>
      <c r="C89" s="6" t="n">
        <f>A89*$B$19</f>
        <v>28.8</v>
      </c>
      <c r="D89" s="6" t="n">
        <f>$B$26+C89</f>
        <v>83.8</v>
      </c>
      <c r="E89" s="6" t="n">
        <f>D89-$B$25</f>
        <v>33.8</v>
      </c>
      <c r="F89" s="6" t="n">
        <f>C89-$B$15/2-$B$7/2</f>
        <v>-6.199999999999999</v>
      </c>
      <c r="G89" s="1"/>
      <c r="H89" s="1"/>
      <c r="I89" s="1"/>
      <c r="J89" s="1"/>
      <c r="K89" s="1"/>
      <c r="L89" s="1"/>
      <c r="M89" s="1"/>
      <c r="N89" s="1"/>
    </row>
    <row r="90" ht="22" customHeight="1">
      <c r="A90" s="7" t="n">
        <v>0.9</v>
      </c>
      <c r="B90" s="6" t="n">
        <f>A90*$B$20</f>
        <v>23.400000000000002</v>
      </c>
      <c r="C90" s="6" t="n">
        <f>A90*$B$19</f>
        <v>32.4</v>
      </c>
      <c r="D90" s="6" t="n">
        <f>$B$26+C90</f>
        <v>87.4</v>
      </c>
      <c r="E90" s="6" t="n">
        <f>D90-$B$25</f>
        <v>37.400000000000006</v>
      </c>
      <c r="F90" s="6" t="n">
        <f>C90-$B$15/2-$B$7/2</f>
        <v>-2.6000000000000014</v>
      </c>
      <c r="G90" s="1"/>
      <c r="H90" s="1"/>
      <c r="I90" s="1"/>
      <c r="J90" s="1"/>
      <c r="K90" s="1"/>
      <c r="L90" s="1"/>
      <c r="M90" s="1"/>
      <c r="N90" s="1"/>
    </row>
    <row r="91" ht="22" customHeight="1">
      <c r="A91" s="7" t="n">
        <v>1</v>
      </c>
      <c r="B91" s="6" t="n">
        <f>A91*$B$20</f>
        <v>26</v>
      </c>
      <c r="C91" s="6" t="n">
        <f>A91*$B$19</f>
        <v>36</v>
      </c>
      <c r="D91" s="6" t="n">
        <f>$B$26+C91</f>
        <v>91</v>
      </c>
      <c r="E91" s="6" t="n">
        <f>D91-$B$25</f>
        <v>41</v>
      </c>
      <c r="F91" s="6" t="n">
        <f>C91-$B$15/2-$B$7/2</f>
        <v>1</v>
      </c>
      <c r="G91" s="1"/>
      <c r="H91" s="1"/>
      <c r="I91" s="1"/>
      <c r="J91" s="1"/>
      <c r="K91" s="1"/>
      <c r="L91" s="1"/>
      <c r="M91" s="1"/>
      <c r="N91" s="1"/>
    </row>
    <row r="92" ht="2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2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22" customHeight="1">
      <c r="A94" s="1" t="str">
        <v>回転軸・耳・60〜70°開き角・軸方向積上げは新方式で不使用。TSB/M5は余材として保管。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2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22" customHeight="1">
      <c r="A96" s="1" t="str">
        <v>ガイド前面u6.5、可動ばね掛け背面u8（5mmスペーサー）→名目隙間1.5。ねじ先端は別途確認。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2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22" customHeight="1">
      <c r="A98" s="1" t="str">
        <v>ケース5枚の配置と落下は模式表示。滑走、たわみ、静電気、滞留圧、衝撃、BS-01可動部との干渉は現物確認。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2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2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2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2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2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2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2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2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2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2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2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2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2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2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2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2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2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2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2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2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2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2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2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2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2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2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2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2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2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2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2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2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2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2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2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2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2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2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2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2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2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2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2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2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2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2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2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2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2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2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2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2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</sheetData>
  <conditionalFormatting sqref="B43:B70">
    <cfRule type="cellIs" dxfId="0" priority="1" operator="lessThan">
      <formula>0</formula>
    </cfRule>
  </conditionalFormatting>
  <pageMargins left=".2" right=".2" top=".2" bottom=".2" header=".1" footer=".1"/>
  <pageSetup paperSize="8" orientation="landscape" fitToWidth="1" fitToHeight="0"/>
</worksheet>
</file>

<file path=xl/worksheets/sheet5.xml><?xml version="1.0" encoding="utf-8"?>
<worksheet xmlns="http://schemas.openxmlformats.org/spreadsheetml/2006/main">
  <sheetPr>
    <tabColor rgb="FF8196A8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2" hidden="0" customWidth="1"/>
    <col min="2" max="2" width="42" hidden="0" customWidth="1"/>
    <col min="3" max="3" width="43" hidden="0" customWidth="1"/>
    <col min="4" max="4" width="9" hidden="0" customWidth="1"/>
    <col min="5" max="5" width="66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</cols>
  <sheetData>
    <row r="1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>
      <c r="A2" s="2" t="str">
        <v>横スライド式：部品表・切断計画・設計前提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2" customHeight="1">
      <c r="A5" s="9" t="str">
        <v>No</v>
      </c>
      <c r="B5" s="9" t="str">
        <v>部品・材料</v>
      </c>
      <c r="C5" s="9" t="str">
        <v>寸法／仕様</v>
      </c>
      <c r="D5" s="9" t="str">
        <v>数量</v>
      </c>
      <c r="E5" s="9" t="str">
        <v>製作・調達上の扱い</v>
      </c>
      <c r="F5" s="1"/>
      <c r="G5" s="1"/>
      <c r="H5" s="1"/>
      <c r="I5" s="1"/>
      <c r="J5" s="1"/>
      <c r="K5" s="1"/>
      <c r="L5" s="1"/>
      <c r="M5" s="1"/>
      <c r="N5" s="1"/>
    </row>
    <row r="6" ht="32" customHeight="1">
      <c r="A6" s="1" t="str">
        <v>①</v>
      </c>
      <c r="B6" s="1" t="str">
        <v>ゲート A6063</v>
      </c>
      <c r="C6" s="1" t="str">
        <v>40×110×t3</v>
      </c>
      <c r="D6" s="1" t="n">
        <v>1</v>
      </c>
      <c r="E6" s="1" t="str">
        <v>40×3×150から。流入面のねじ頭は面一</v>
      </c>
      <c r="F6" s="1"/>
      <c r="G6" s="1"/>
      <c r="H6" s="1"/>
      <c r="I6" s="1"/>
      <c r="J6" s="1"/>
      <c r="K6" s="1"/>
      <c r="L6" s="1"/>
      <c r="M6" s="1"/>
      <c r="N6" s="1"/>
    </row>
    <row r="7" ht="32" customHeight="1">
      <c r="A7" s="1" t="str">
        <v>②</v>
      </c>
      <c r="B7" s="1" t="str">
        <v>上下スライドガイド L20</v>
      </c>
      <c r="C7" s="1" t="str">
        <v>20×20×t2、長80</v>
      </c>
      <c r="D7" s="1" t="n">
        <v>4</v>
      </c>
      <c r="E7" s="1" t="str">
        <v>上下に対向配置。スペーサーで溝幅調整</v>
      </c>
      <c r="F7" s="1"/>
      <c r="G7" s="1"/>
      <c r="H7" s="1"/>
      <c r="I7" s="1"/>
      <c r="J7" s="1"/>
      <c r="K7" s="1"/>
      <c r="L7" s="1"/>
      <c r="M7" s="1"/>
      <c r="N7" s="1"/>
    </row>
    <row r="8" ht="32" customHeight="1">
      <c r="A8" s="1" t="str">
        <v>③</v>
      </c>
      <c r="B8" s="1" t="str">
        <v>カム L20</v>
      </c>
      <c r="C8" s="1" t="str">
        <v>長50／接触線54.162°</v>
      </c>
      <c r="D8" s="1" t="n">
        <v>1</v>
      </c>
      <c r="E8" s="1" t="str">
        <v>台車枠に固定、接触端R2以上・樹脂当て</v>
      </c>
      <c r="F8" s="1"/>
      <c r="G8" s="1"/>
      <c r="H8" s="1"/>
      <c r="I8" s="1"/>
      <c r="J8" s="1"/>
      <c r="K8" s="1"/>
      <c r="L8" s="1"/>
      <c r="M8" s="1"/>
      <c r="N8" s="1"/>
    </row>
    <row r="9" ht="32" customHeight="1">
      <c r="A9" s="1" t="str">
        <v>④</v>
      </c>
      <c r="B9" s="1" t="str">
        <v>固定ブラケット L20</v>
      </c>
      <c r="C9" s="1" t="str">
        <v>長30</v>
      </c>
      <c r="D9" s="1" t="n">
        <v>2</v>
      </c>
      <c r="E9" s="1" t="str">
        <v>既存穴・固定棚との取合いは現物調整</v>
      </c>
      <c r="F9" s="1"/>
      <c r="G9" s="1"/>
      <c r="H9" s="1"/>
      <c r="I9" s="1"/>
      <c r="J9" s="1"/>
      <c r="K9" s="1"/>
      <c r="L9" s="1"/>
      <c r="M9" s="1"/>
      <c r="N9" s="1"/>
    </row>
    <row r="10" ht="32" customHeight="1">
      <c r="A10" s="1" t="str">
        <v>⑤</v>
      </c>
      <c r="B10" s="1" t="str">
        <v>フォロワー L20</v>
      </c>
      <c r="C10" s="1" t="str">
        <v>長20</v>
      </c>
      <c r="D10" s="1" t="n">
        <v>1</v>
      </c>
      <c r="E10" s="1" t="str">
        <v>ゲート側。カム接触点u20,z35+s</v>
      </c>
      <c r="F10" s="1"/>
      <c r="G10" s="1"/>
      <c r="H10" s="1"/>
      <c r="I10" s="1"/>
      <c r="J10" s="1"/>
      <c r="K10" s="1"/>
      <c r="L10" s="1"/>
      <c r="M10" s="1"/>
      <c r="N10" s="1"/>
    </row>
    <row r="11" ht="32" customHeight="1">
      <c r="A11" s="1" t="str">
        <v>⑥</v>
      </c>
      <c r="B11" s="1" t="str">
        <v>固定・可動ばね掛け L20</v>
      </c>
      <c r="C11" s="1" t="str">
        <v>長20</v>
      </c>
      <c r="D11" s="1" t="n">
        <v>2</v>
      </c>
      <c r="E11" s="1" t="str">
        <v>φ3穴。可動側は5mmスペーサーで前へ逃がす</v>
      </c>
      <c r="F11" s="1"/>
      <c r="G11" s="1"/>
      <c r="H11" s="1"/>
      <c r="I11" s="1"/>
      <c r="J11" s="1"/>
      <c r="K11" s="1"/>
      <c r="L11" s="1"/>
      <c r="M11" s="1"/>
      <c r="N11" s="1"/>
    </row>
    <row r="12" ht="32" customHeight="1">
      <c r="A12" s="1" t="str">
        <v>⑦</v>
      </c>
      <c r="B12" s="1" t="str">
        <v>ばね支持腕 L20</v>
      </c>
      <c r="C12" s="1" t="str">
        <v>長80</v>
      </c>
      <c r="D12" s="1" t="n">
        <v>1</v>
      </c>
      <c r="E12" s="1" t="str">
        <v>固定ばね穴の幅方向張出しを支える</v>
      </c>
      <c r="F12" s="1"/>
      <c r="G12" s="1"/>
      <c r="H12" s="1"/>
      <c r="I12" s="1"/>
      <c r="J12" s="1"/>
      <c r="K12" s="1"/>
      <c r="L12" s="1"/>
      <c r="M12" s="1"/>
      <c r="N12" s="1"/>
    </row>
    <row r="13" ht="32" customHeight="1">
      <c r="A13" s="1" t="str">
        <v>⑧</v>
      </c>
      <c r="B13" s="1" t="str">
        <v>引張ばね SUS304</v>
      </c>
      <c r="C13" s="1" t="str">
        <v>外径8／自由長50の候補</v>
      </c>
      <c r="D13" s="1" t="n">
        <v>1</v>
      </c>
      <c r="E13" s="1" t="str">
        <v>閉止55、全開91、最大伸び41。合否未判定</v>
      </c>
      <c r="F13" s="1"/>
      <c r="G13" s="1"/>
      <c r="H13" s="1"/>
      <c r="I13" s="1"/>
      <c r="J13" s="1"/>
      <c r="K13" s="1"/>
      <c r="L13" s="1"/>
      <c r="M13" s="1"/>
      <c r="N13" s="1"/>
    </row>
    <row r="14" ht="32" customHeight="1">
      <c r="A14" s="1" t="str">
        <v>追加</v>
      </c>
      <c r="B14" s="1" t="str">
        <v>すべり材</v>
      </c>
      <c r="C14" s="1" t="str">
        <v>厚0.2／ガイド接触面</v>
      </c>
      <c r="D14" s="1" t="n">
        <v>1</v>
      </c>
      <c r="E14" s="1" t="str">
        <v>UHMW-PE等の候補。実厚・接着・摩擦を確認</v>
      </c>
      <c r="F14" s="1"/>
      <c r="G14" s="1"/>
      <c r="H14" s="1"/>
      <c r="I14" s="1"/>
      <c r="J14" s="1"/>
      <c r="K14" s="1"/>
      <c r="L14" s="1"/>
      <c r="M14" s="1"/>
      <c r="N14" s="1"/>
    </row>
    <row r="15" ht="32" customHeight="1">
      <c r="A15" s="1" t="str">
        <v>追加</v>
      </c>
      <c r="B15" s="1" t="str">
        <v>溝幅調整材／5mmスペーサー</v>
      </c>
      <c r="C15" s="1" t="str">
        <v>現物合わせ</v>
      </c>
      <c r="D15" s="1" t="n">
        <v>1</v>
      </c>
      <c r="E15" s="1" t="str">
        <v>ガイド内幅3.9、可動ばね掛け前逃げ5</v>
      </c>
      <c r="F15" s="1"/>
      <c r="G15" s="1"/>
      <c r="H15" s="1"/>
      <c r="I15" s="1"/>
      <c r="J15" s="1"/>
      <c r="K15" s="1"/>
      <c r="L15" s="1"/>
      <c r="M15" s="1"/>
      <c r="N15" s="1"/>
    </row>
    <row r="16" ht="32" customHeight="1">
      <c r="A16" s="1" t="str">
        <v>追加</v>
      </c>
      <c r="B16" s="1" t="str">
        <v>M3皿ねじ・適合長ねじ／ナット</v>
      </c>
      <c r="C16" s="1" t="str">
        <v>長さ10〜16等を現物選定</v>
      </c>
      <c r="D16" s="1" t="n">
        <v>1</v>
      </c>
      <c r="E16" s="1" t="str">
        <v>貫通量・皿もみ・固定具実厚を確認。数量は組立で確定</v>
      </c>
      <c r="F16" s="1"/>
      <c r="G16" s="1"/>
      <c r="H16" s="1"/>
      <c r="I16" s="1"/>
      <c r="J16" s="1"/>
      <c r="K16" s="1"/>
      <c r="L16" s="1"/>
      <c r="M16" s="1"/>
      <c r="N16" s="1"/>
    </row>
    <row r="17" ht="32" customHeight="1">
      <c r="A17" s="1" t="str">
        <v>追加</v>
      </c>
      <c r="B17" s="1" t="str">
        <v>開閉端の調整ねじ</v>
      </c>
      <c r="C17" s="1" t="str">
        <v>M3等</v>
      </c>
      <c r="D17" s="1" t="n">
        <v>2</v>
      </c>
      <c r="E17" s="1" t="str">
        <v>閉止位置、開側36±0.2を調整。台車衝撃は受けない</v>
      </c>
      <c r="F17" s="1"/>
      <c r="G17" s="1"/>
      <c r="H17" s="1"/>
      <c r="I17" s="1"/>
      <c r="J17" s="1"/>
      <c r="K17" s="1"/>
      <c r="L17" s="1"/>
      <c r="M17" s="1"/>
      <c r="N17" s="1"/>
    </row>
    <row r="18" ht="32" customHeight="1">
      <c r="A18" s="1" t="str">
        <v>追加</v>
      </c>
      <c r="B18" s="1" t="str">
        <v>回収ボックス＋固定金具</v>
      </c>
      <c r="C18" s="1" t="str">
        <v>内寸250×80×200の案</v>
      </c>
      <c r="D18" s="1" t="n">
        <v>1</v>
      </c>
      <c r="E18" s="1" t="str">
        <v>台車枠に固定。入口を広げ、先に出口下へ入る</v>
      </c>
      <c r="F18" s="1"/>
      <c r="G18" s="1"/>
      <c r="H18" s="1"/>
      <c r="I18" s="1"/>
      <c r="J18" s="1"/>
      <c r="K18" s="1"/>
      <c r="L18" s="1"/>
      <c r="M18" s="1"/>
      <c r="N18" s="1"/>
    </row>
    <row r="19" ht="32" customHeight="1">
      <c r="A19" s="1" t="str">
        <v>既設</v>
      </c>
      <c r="B19" s="1" t="str">
        <v>BS-01</v>
      </c>
      <c r="C19" s="1" t="str">
        <v>ユーザー設備</v>
      </c>
      <c r="D19" s="1" t="n">
        <v>1</v>
      </c>
      <c r="E19" s="1" t="str">
        <v>既設のまま使用。自作ゲートと接触させない</v>
      </c>
      <c r="F19" s="1"/>
      <c r="G19" s="1"/>
      <c r="H19" s="1"/>
      <c r="I19" s="1"/>
      <c r="J19" s="1"/>
      <c r="K19" s="1"/>
      <c r="L19" s="1"/>
      <c r="M19" s="1"/>
      <c r="N19" s="1"/>
    </row>
    <row r="20" ht="32" customHeight="1">
      <c r="A20" s="1" t="str">
        <v>不使用</v>
      </c>
      <c r="B20" s="1" t="str">
        <v>TSB φ6.5×40／M5ナット</v>
      </c>
      <c r="C20" s="1" t="str">
        <v>旧回転蓋用</v>
      </c>
      <c r="D20" s="1" t="n">
        <v>1</v>
      </c>
      <c r="E20" s="1" t="str">
        <v>横スライド式では回転軸を使わない</v>
      </c>
      <c r="F20" s="1"/>
      <c r="G20" s="1"/>
      <c r="H20" s="1"/>
      <c r="I20" s="1"/>
      <c r="J20" s="1"/>
      <c r="K20" s="1"/>
      <c r="L20" s="1"/>
      <c r="M20" s="1"/>
      <c r="N20" s="1"/>
    </row>
    <row r="21" ht="2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22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22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22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22" customHeight="1">
      <c r="A25" s="9" t="str">
        <v>区分</v>
      </c>
      <c r="B25" s="9" t="str">
        <v>設計条件・確認結果</v>
      </c>
      <c r="C25" s="9" t="str">
        <v>対応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50" customHeight="1">
      <c r="A26" s="1" t="str">
        <v>確定</v>
      </c>
      <c r="B26" s="5" t="str">
        <v>ケース外寸100×205mm、立て姿勢。最大5枚。</v>
      </c>
      <c r="C26" s="5" t="str">
        <v>ユーザー指定。厚さ・質量・実際の重なり方は未確認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50" customHeight="1">
      <c r="A27" s="1" t="str">
        <v>確定</v>
      </c>
      <c r="B27" s="5" t="str">
        <v>BS-01付きスロープ台車に回収ボックスを取り付ける。</v>
      </c>
      <c r="C27" s="5" t="str">
        <v>位置関係は現物調整済み。写真の再提出を条件にしない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50" customHeight="1">
      <c r="A28" s="1" t="str">
        <v>変更</v>
      </c>
      <c r="B28" s="5" t="str">
        <v>横スライド式へ変更。幅方向の回転軸・耳を廃止。</v>
      </c>
      <c r="C28" s="5" t="str">
        <v>以前の回転蓋図は本Rev Bへ全面置換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50" customHeight="1">
      <c r="A29" s="1" t="str">
        <v>座標</v>
      </c>
      <c r="B29" s="5" t="str">
        <v>u=ダクト下流、v=底から上、z=幅方向。端面u0、底v0。</v>
      </c>
      <c r="C29" s="5" t="str">
        <v>閉止ゲートu0〜3、v−5〜105、z−20〜20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50" customHeight="1">
      <c r="A30" s="1" t="str">
        <v>機構</v>
      </c>
      <c r="B30" s="5" t="str">
        <v>26mm接近→横36mm。カム角54.162°、有効接触線44.407。</v>
      </c>
      <c r="C30" s="5" t="str">
        <v>角はR2以上。摩擦・フォロワー厚は調整で吸収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50" customHeight="1">
      <c r="A31" s="1" t="str">
        <v>終端</v>
      </c>
      <c r="B31" s="5" t="str">
        <v>全開時は台車の到達位置でカムを保持。開側調整ねじで移動36を規制。</v>
      </c>
      <c r="C31" s="5" t="str">
        <v>ゲート終端へ台車の衝撃を加えない。追加押込み余裕は未確定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50" customHeight="1">
      <c r="A32" s="1" t="str">
        <v>閉止</v>
      </c>
      <c r="B32" s="5" t="str">
        <v>端面との公称すきま0。底面より5mm下まで重ねる。</v>
      </c>
      <c r="C32" s="5" t="str">
        <v>薄いケースの抜けは実物試験。ガイド遊びと密着は別の管理項目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50" customHeight="1">
      <c r="A33" s="1" t="str">
        <v>公差</v>
      </c>
      <c r="B33" s="5" t="str">
        <v>一般±0.5、ゲート幅±0.2仕上げ、開放終端36±0.2。</v>
      </c>
      <c r="C33" s="5" t="str">
        <v>一般±0.5のみでは全開余裕が0になり得る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50" customHeight="1">
      <c r="A34" s="1" t="str">
        <v>ガイド</v>
      </c>
      <c r="B34" s="5" t="str">
        <v>内幅3.9−板3−すべり材0.2×2=総遊び0.5。</v>
      </c>
      <c r="C34" s="5" t="str">
        <v>材厚を実測し遊び0.3〜0.6へ調整。ねじを通路に突出させない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50" customHeight="1">
      <c r="A35" s="1" t="str">
        <v>ばね</v>
      </c>
      <c r="B35" s="5" t="str">
        <v>A(25,110,−70)、B(25,110,−15+s)。L=55+s。</v>
      </c>
      <c r="C35" s="5" t="str">
        <v>穴中心間を有効長と仮定。フック形状、許容伸び、k、初張力が未確認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50" customHeight="1">
      <c r="A36" s="1" t="str">
        <v>ばね</v>
      </c>
      <c r="B36" s="5" t="str">
        <v>L0=50なら閉止伸び5、全開伸び41。L0=35なら最大伸び56。</v>
      </c>
      <c r="C36" s="5" t="str">
        <v>元のばね候補の流用可否は未確定。仕様確認後に選定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50" customHeight="1">
      <c r="A37" s="1" t="str">
        <v>干渉</v>
      </c>
      <c r="B37" s="5" t="str">
        <v>ばねとケース上端の公称余裕6。可動ばね掛けとガイドの前後余裕1.5。</v>
      </c>
      <c r="C37" s="5" t="str">
        <v>包絡の一部検証。端末フック、ねじ頭、BS-01との実形状は未照合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50" customHeight="1">
      <c r="A38" s="1" t="str">
        <v>材料</v>
      </c>
      <c r="B38" s="5" t="str">
        <v>1本目：80×3＋50＋切断代2×4=298／残2。</v>
      </c>
      <c r="C38" s="5" t="str">
        <v>2本目：80×2＋30×2＋20×3＋切断代2×7=294／残6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50" customHeight="1">
      <c r="A39" s="1" t="str">
        <v>材料</v>
      </c>
      <c r="B39" s="5" t="str">
        <v>ゲート110＋切断代2=112／フラットバー残38。</v>
      </c>
      <c r="C39" s="5" t="str">
        <v>アングル余材が少ない。切幅・端面仕上げ代を切断前に確認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50" customHeight="1">
      <c r="A40" s="1" t="str">
        <v>回収箱</v>
      </c>
      <c r="B40" s="5" t="str">
        <v>内寸250×80×200、水平な箱を仮定。</v>
      </c>
      <c r="C40" s="5" t="str">
        <v>ケース26°姿勢の水平投影228.090、高さ投影179.745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50" customHeight="1">
      <c r="A41" s="1" t="str">
        <v>順序</v>
      </c>
      <c r="B41" s="5" t="str">
        <v>受け口が先に出口下に入る→ゲート全開→回収→閉止→台車離脱。</v>
      </c>
      <c r="C41" s="5" t="str">
        <v>受け口と出口の重なり量・落下距離は現物調整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50" customHeight="1">
      <c r="A42" s="1" t="str">
        <v>HTML</v>
      </c>
      <c r="B42" s="5" t="str">
        <v>5枚をずらして表示。厚み・落下軌道・移動時間は説明用。</v>
      </c>
      <c r="C42" s="5" t="str">
        <v>ケースが同時に流れることや落下成功を保証する動力学解析ではない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50" customHeight="1">
      <c r="A43" s="1" t="str">
        <v>原図</v>
      </c>
      <c r="B43" s="5" t="str">
        <v>参照会話の依頼条件から再構成。旧PDF/DXF/Pythonは取得できていない。</v>
      </c>
      <c r="C43" s="5" t="str">
        <v>旧原図との照合は未実施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50" customHeight="1">
      <c r="A44" s="1" t="str">
        <v>資料</v>
      </c>
      <c r="B44" s="5" t="str">
        <v>興和化成 KD製品ページ</v>
      </c>
      <c r="C44" s="5" t="str">
        <v>https://www.kowa-kasei.co.jp/archives/products/kd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50" customHeight="1">
      <c r="A45" s="1" t="str">
        <v>資料</v>
      </c>
      <c r="B45" s="5" t="str">
        <v>BS-01メーカー資料（既設部品の参考）</v>
      </c>
      <c r="C45" s="5" t="str">
        <v>https://www.tmehjapan.jp/wp-content/uploads/2024/04/eb8b33f703dfca761018ddf06fedd035.pdf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50" customHeight="1">
      <c r="A46" s="1" t="str">
        <v>判定範囲</v>
      </c>
      <c r="B46" s="5" t="str">
        <v>切断量・名目通路開放・カム変換・ばね伸び・箱の投影寸法を確認。</v>
      </c>
      <c r="C46" s="5" t="str">
        <v>荷重、摩擦、強度、寿命、閉止密着、落下は実物確認が残る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50" customHeight="1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2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2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2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2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2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2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2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2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2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2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2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2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2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2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2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2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2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2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2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2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2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2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2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2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2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2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2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2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2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2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2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2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2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2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2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2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2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2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2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2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2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2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2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2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2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2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2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2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2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2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2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2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2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2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2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2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2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2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2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2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2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2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2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2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2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2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2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2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2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2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2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2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2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2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2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2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2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2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2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2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2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2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2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2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2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2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2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2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2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2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2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2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2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2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2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2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2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2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2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2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2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2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2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</sheetData>
  <pageMargins left=".2" right=".2" top=".2" bottom=".2" header=".1" footer=".1"/>
  <pageSetup paperSize="8" orientation="landscape" fitToWidth="1" fitToHeight="0"/>
</worksheet>
</file>